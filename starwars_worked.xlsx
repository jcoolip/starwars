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ABCF385F-3965-40B2-91CF-1C8CD3B2B37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tarwars" sheetId="1" r:id="rId1"/>
    <sheet name="hasHeight" sheetId="3" r:id="rId2"/>
    <sheet name="data_dictionary" sheetId="2" r:id="rId3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7" i="3" l="1"/>
  <c r="H87" i="3"/>
  <c r="D88" i="3"/>
  <c r="H9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A2" i="3" l="1" a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H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A2" i="3" l="1"/>
  <c r="D94" i="3"/>
  <c r="D93" i="3"/>
  <c r="D87" i="3"/>
  <c r="G87" i="3" s="1"/>
  <c r="D92" i="3"/>
  <c r="H2" i="1"/>
  <c r="I78" i="1"/>
  <c r="I62" i="1"/>
  <c r="I26" i="1"/>
  <c r="I60" i="1"/>
  <c r="I61" i="1"/>
  <c r="I59" i="1"/>
  <c r="I36" i="1"/>
  <c r="I12" i="1"/>
  <c r="I23" i="1"/>
  <c r="I11" i="1"/>
  <c r="I55" i="1"/>
  <c r="I82" i="1"/>
  <c r="I70" i="1"/>
  <c r="I58" i="1"/>
  <c r="I46" i="1"/>
  <c r="I22" i="1"/>
  <c r="I10" i="1"/>
  <c r="I81" i="1"/>
  <c r="I69" i="1"/>
  <c r="I45" i="1"/>
  <c r="I33" i="1"/>
  <c r="I21" i="1"/>
  <c r="I9" i="1"/>
  <c r="I80" i="1"/>
  <c r="I68" i="1"/>
  <c r="I56" i="1"/>
  <c r="I32" i="1"/>
  <c r="I20" i="1"/>
  <c r="I8" i="1"/>
  <c r="I79" i="1"/>
  <c r="I67" i="1"/>
  <c r="I43" i="1"/>
  <c r="I31" i="1"/>
  <c r="I19" i="1"/>
  <c r="I7" i="1"/>
  <c r="I44" i="1"/>
  <c r="I50" i="1"/>
  <c r="I14" i="1"/>
  <c r="I13" i="1"/>
  <c r="I37" i="1"/>
  <c r="I73" i="1"/>
  <c r="I49" i="1"/>
  <c r="I25" i="1"/>
  <c r="I34" i="1"/>
  <c r="I48" i="1"/>
  <c r="I24" i="1"/>
  <c r="I57" i="1"/>
  <c r="I35" i="1"/>
  <c r="I66" i="1"/>
  <c r="I47" i="1"/>
  <c r="I83" i="1"/>
  <c r="I72" i="1"/>
  <c r="I84" i="1"/>
  <c r="I85" i="1"/>
  <c r="I74" i="1"/>
  <c r="I86" i="1"/>
  <c r="I87" i="1"/>
  <c r="I28" i="1"/>
  <c r="I52" i="1"/>
  <c r="I76" i="1"/>
  <c r="I29" i="1"/>
  <c r="I41" i="1"/>
  <c r="I2" i="1"/>
  <c r="I6" i="1"/>
  <c r="I18" i="1"/>
  <c r="I77" i="1"/>
  <c r="I65" i="1"/>
  <c r="I53" i="1"/>
  <c r="I17" i="1"/>
  <c r="I5" i="1"/>
  <c r="I71" i="1"/>
  <c r="I54" i="1"/>
  <c r="I88" i="1"/>
  <c r="I40" i="1"/>
  <c r="I16" i="1"/>
  <c r="I4" i="1"/>
  <c r="I39" i="1"/>
  <c r="I42" i="1"/>
  <c r="I75" i="1"/>
  <c r="I63" i="1"/>
  <c r="I51" i="1"/>
  <c r="I27" i="1"/>
  <c r="I15" i="1"/>
  <c r="I3" i="1"/>
  <c r="I64" i="1"/>
  <c r="I38" i="1"/>
  <c r="I30" i="1"/>
  <c r="H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2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D86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<sst xmlns="http://schemas.openxmlformats.org/spreadsheetml/2006/main" count="775" uniqueCount="291">
  <si>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</si>
  <si>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</si>
  <si>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</si>
  <si>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</si>
  <si>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</si>
  <si>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</si>
  <si>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</si>
  <si>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</si>
  <si>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</si>
  <si>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</si>
  <si>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</si>
  <si>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</si>
  <si>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</si>
  <si>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</si>
  <si>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</si>
  <si>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</si>
  <si>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</si>
  <si>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</si>
  <si>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</si>
  <si>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</si>
  <si>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</si>
  <si>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</si>
  <si>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</si>
  <si>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</si>
  <si>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</si>
  <si>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</si>
  <si>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</si>
  <si>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</si>
  <si>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</si>
  <si>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</si>
  <si>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</si>
  <si>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</si>
  <si>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</si>
  <si>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</si>
  <si>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</si>
  <si>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</si>
  <si>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</si>
  <si>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</si>
  <si>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</si>
  <si>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</si>
  <si>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</si>
  <si>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</si>
  <si>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</si>
  <si>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</si>
  <si>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</si>
  <si>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</si>
  <si>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</si>
  <si>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</si>
  <si>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</si>
  <si>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</si>
  <si>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</si>
  <si>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</si>
  <si>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</si>
  <si>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</si>
  <si>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</si>
  <si>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</si>
  <si>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</si>
  <si>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</si>
  <si>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</si>
  <si>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</si>
  <si>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</si>
  <si>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</si>
  <si>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</si>
  <si>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</si>
  <si>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</si>
  <si>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</si>
  <si>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</si>
  <si>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</si>
  <si>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</si>
  <si>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</si>
  <si>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</si>
  <si>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</si>
  <si>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</si>
  <si>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</si>
  <si>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</si>
  <si>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</si>
  <si>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</si>
  <si>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</si>
  <si>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</si>
  <si>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</si>
  <si>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</si>
  <si>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</si>
  <si>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</si>
  <si>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</si>
  <si>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</si>
  <si>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</si>
  <si>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</si>
  <si>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</si>
  <si>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</si>
  <si>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</si>
  <si>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</si>
  <si>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</si>
  <si>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</si>
  <si>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</si>
  <si>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</si>
  <si>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</si>
  <si>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</si>
  <si>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</si>
  <si>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</si>
  <si>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</si>
  <si>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</si>
  <si>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</si>
  <si>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</si>
  <si>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</si>
  <si>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</si>
  <si>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</si>
  <si>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</si>
  <si>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</si>
  <si>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</si>
  <si>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</si>
  <si>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</si>
  <si>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</si>
  <si>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</si>
  <si>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</si>
  <si>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</si>
  <si>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</si>
  <si>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</si>
  <si>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</si>
  <si>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</si>
  <si>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</si>
  <si>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</si>
  <si>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</si>
  <si>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</si>
  <si>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</si>
  <si>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</si>
  <si>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</si>
  <si>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</si>
  <si>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</si>
  <si>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</si>
  <si>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</si>
  <si>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</si>
  <si>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</si>
  <si>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</si>
  <si>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</si>
  <si>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</si>
  <si>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</si>
  <si>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</si>
  <si>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</si>
  <si>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</si>
  <si>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</si>
  <si>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</si>
  <si>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</si>
  <si>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</si>
  <si>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</si>
  <si>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</si>
  <si>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</si>
  <si>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</si>
  <si>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</si>
  <si>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</si>
  <si>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</si>
  <si>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</si>
  <si>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</si>
  <si>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</si>
  <si>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</si>
  <si>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</si>
  <si>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</si>
  <si>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</si>
  <si>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</si>
  <si>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</si>
  <si>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</si>
  <si>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</si>
  <si>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</si>
  <si>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</si>
  <si>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</si>
  <si>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</si>
  <si>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</si>
  <si>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</si>
  <si>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</si>
  <si>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</si>
  <si>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</si>
  <si>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</si>
  <si>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</si>
  <si>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</si>
  <si>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</si>
  <si>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</si>
  <si>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</si>
  <si>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</si>
  <si>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</si>
  <si>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</si>
  <si>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</si>
  <si>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</si>
  <si>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</si>
  <si>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</si>
  <si>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</si>
  <si>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</si>
  <si>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</si>
  <si>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</si>
  <si>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</si>
  <si>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</si>
  <si>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</si>
  <si>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</si>
  <si>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</si>
  <si>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</si>
  <si>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</si>
  <si>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</si>
  <si>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</si>
  <si>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</si>
  <si>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</si>
  <si>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</si>
  <si>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</si>
  <si>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</si>
  <si>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</si>
  <si>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</si>
  <si>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</si>
  <si>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</si>
  <si>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</si>
  <si>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</si>
  <si>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</si>
  <si>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</si>
  <si>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</si>
  <si>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</si>
  <si>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</si>
  <si>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</si>
  <si>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</si>
  <si>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</si>
  <si>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</si>
  <si>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</si>
  <si>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</si>
  <si>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</si>
  <si>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</si>
  <si>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</si>
  <si>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</si>
  <si>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</si>
  <si>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</si>
  <si>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</si>
  <si>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</si>
  <si>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</si>
  <si>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</si>
  <si>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</si>
  <si>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</si>
  <si>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</si>
  <si>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</si>
  <si>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</si>
  <si>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</si>
  <si>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</si>
  <si>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</si>
  <si>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</si>
  <si>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</si>
  <si>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</si>
  <si>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</si>
  <si>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</si>
  <si>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</si>
  <si>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</si>
  <si>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</si>
  <si>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</si>
  <si>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</si>
  <si>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</si>
  <si>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</si>
  <si>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</si>
  <si>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</si>
  <si>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</si>
  <si>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</si>
  <si>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</si>
  <si>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</si>
  <si>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</si>
  <si>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</si>
  <si>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</si>
  <si>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</si>
  <si>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</si>
  <si>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</si>
  <si>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</si>
  <si>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</si>
  <si>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</si>
  <si>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</si>
  <si>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</si>
  <si>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</si>
  <si>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</si>
  <si>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</si>
  <si>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</si>
  <si>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</si>
  <si>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</si>
  <si>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</si>
  <si>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</si>
  <si>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</si>
  <si>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</si>
  <si>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</si>
  <si>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</si>
  <si>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</si>
  <si>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</si>
  <si>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</si>
  <si>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</si>
  <si>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</si>
  <si>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</si>
  <si>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</si>
  <si>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</si>
  <si>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</si>
  <si>
    <t>mean</t>
  </si>
  <si>
    <t>median</t>
  </si>
  <si>
    <t>mode</t>
  </si>
  <si>
    <t>w/o functions</t>
  </si>
  <si>
    <t>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</si>
</sst>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0" fillId="34" borderId="0" xfId="0" applyFill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topLeftCell="A69" zoomScaleNormal="100" workbookViewId="0">
      <selection activeCell="U17" sqref="U17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0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1">D3/100</f>
        <v>1.67</v>
      </c>
      <c r="C3">
        <f t="shared" ref="C3:C66" si="2">IF(ISNUMBER(D3),RANK(D3,$D$2:$D$88,1),"No Info")</f>
        <v>21</v>
      </c>
      <c r="D3">
        <v>167</v>
      </c>
      <c r="E3" s="4">
        <f t="shared" ref="E3:E66" si="3">FLOOR(CONVERT(D3,"cm","in"),0.5)</f>
        <v>65.5</v>
      </c>
      <c r="F3">
        <v>75</v>
      </c>
      <c r="G3">
        <f t="shared" ref="G3:G66" si="4">FLOOR(CONVERT(F3,"kg","lbm"),0.25)</f>
        <v>165.25</v>
      </c>
      <c r="H3">
        <f t="shared" ref="H3:H66" si="5">IF(OR(D3="NA",F3="NA"),0, F3/B3^2)</f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0"/>
        <v>Attack of the Clones</v>
      </c>
      <c r="U3" t="s">
        <v>22</v>
      </c>
    </row>
    <row r="4" spans="1:21" x14ac:dyDescent="0.3">
      <c r="A4" t="s">
        <v>23</v>
      </c>
      <c r="B4">
        <f t="shared" si="1"/>
        <v>0.96</v>
      </c>
      <c r="C4">
        <f t="shared" si="2"/>
        <v>5</v>
      </c>
      <c r="D4">
        <v>96</v>
      </c>
      <c r="E4" s="4">
        <f t="shared" si="3"/>
        <v>37.5</v>
      </c>
      <c r="F4">
        <v>32</v>
      </c>
      <c r="G4">
        <f t="shared" si="4"/>
        <v>70.5</v>
      </c>
      <c r="H4">
        <f t="shared" si="5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0"/>
        <v>Attack of the Clones</v>
      </c>
      <c r="U4" t="s">
        <v>27</v>
      </c>
    </row>
    <row r="5" spans="1:21" x14ac:dyDescent="0.3">
      <c r="A5" t="s">
        <v>28</v>
      </c>
      <c r="B5">
        <f t="shared" si="1"/>
        <v>2.02</v>
      </c>
      <c r="C5">
        <f t="shared" si="2"/>
        <v>72</v>
      </c>
      <c r="D5">
        <v>202</v>
      </c>
      <c r="E5" s="4">
        <f t="shared" si="3"/>
        <v>79.5</v>
      </c>
      <c r="F5">
        <v>136</v>
      </c>
      <c r="G5">
        <f t="shared" si="4"/>
        <v>299.75</v>
      </c>
      <c r="H5">
        <f t="shared" si="5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0"/>
        <v>Revenge of the Sith</v>
      </c>
      <c r="U5" t="s">
        <v>31</v>
      </c>
    </row>
    <row r="6" spans="1:21" x14ac:dyDescent="0.3">
      <c r="A6" t="s">
        <v>32</v>
      </c>
      <c r="B6">
        <f t="shared" si="1"/>
        <v>1.5</v>
      </c>
      <c r="C6">
        <f t="shared" si="2"/>
        <v>11</v>
      </c>
      <c r="D6">
        <v>150</v>
      </c>
      <c r="E6" s="4">
        <f t="shared" si="3"/>
        <v>59</v>
      </c>
      <c r="F6">
        <v>49</v>
      </c>
      <c r="G6">
        <f t="shared" si="4"/>
        <v>108</v>
      </c>
      <c r="H6">
        <f t="shared" si="5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0"/>
        <v>Revenge of the Sith</v>
      </c>
      <c r="U6" t="s">
        <v>36</v>
      </c>
    </row>
    <row r="7" spans="1:21" x14ac:dyDescent="0.3">
      <c r="A7" t="s">
        <v>37</v>
      </c>
      <c r="B7">
        <f t="shared" si="1"/>
        <v>1.78</v>
      </c>
      <c r="C7">
        <f t="shared" si="2"/>
        <v>35</v>
      </c>
      <c r="D7">
        <v>178</v>
      </c>
      <c r="E7" s="4">
        <f t="shared" si="3"/>
        <v>70</v>
      </c>
      <c r="F7">
        <v>120</v>
      </c>
      <c r="G7">
        <f t="shared" si="4"/>
        <v>264.5</v>
      </c>
      <c r="H7">
        <f t="shared" si="5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0"/>
        <v>Attack of the Clones</v>
      </c>
      <c r="U7" t="s">
        <v>39</v>
      </c>
    </row>
    <row r="8" spans="1:21" x14ac:dyDescent="0.3">
      <c r="A8" t="s">
        <v>40</v>
      </c>
      <c r="B8">
        <f t="shared" si="1"/>
        <v>1.65</v>
      </c>
      <c r="C8">
        <f t="shared" si="2"/>
        <v>17</v>
      </c>
      <c r="D8">
        <v>165</v>
      </c>
      <c r="E8" s="4">
        <f t="shared" si="3"/>
        <v>64.5</v>
      </c>
      <c r="F8">
        <v>75</v>
      </c>
      <c r="G8">
        <f t="shared" si="4"/>
        <v>165.25</v>
      </c>
      <c r="H8">
        <f t="shared" si="5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0"/>
        <v>Attack of the Clones</v>
      </c>
      <c r="U8" t="s">
        <v>39</v>
      </c>
    </row>
    <row r="9" spans="1:21" x14ac:dyDescent="0.3">
      <c r="A9" t="s">
        <v>41</v>
      </c>
      <c r="B9">
        <f t="shared" si="1"/>
        <v>0.97</v>
      </c>
      <c r="C9">
        <f t="shared" si="2"/>
        <v>7</v>
      </c>
      <c r="D9">
        <v>97</v>
      </c>
      <c r="E9" s="4">
        <f t="shared" si="3"/>
        <v>38</v>
      </c>
      <c r="F9">
        <v>32</v>
      </c>
      <c r="G9">
        <f t="shared" si="4"/>
        <v>70.5</v>
      </c>
      <c r="H9">
        <f t="shared" si="5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0"/>
        <v>A New Hope</v>
      </c>
      <c r="U9" t="s">
        <v>43</v>
      </c>
    </row>
    <row r="10" spans="1:21" x14ac:dyDescent="0.3">
      <c r="A10" t="s">
        <v>44</v>
      </c>
      <c r="B10">
        <f t="shared" si="1"/>
        <v>1.83</v>
      </c>
      <c r="C10">
        <f t="shared" si="2"/>
        <v>45</v>
      </c>
      <c r="D10">
        <v>183</v>
      </c>
      <c r="E10" s="4">
        <f t="shared" si="3"/>
        <v>72</v>
      </c>
      <c r="F10">
        <v>84</v>
      </c>
      <c r="G10">
        <f t="shared" si="4"/>
        <v>185</v>
      </c>
      <c r="H10">
        <f t="shared" si="5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0"/>
        <v>A New Hope</v>
      </c>
      <c r="U10" t="s">
        <v>43</v>
      </c>
    </row>
    <row r="11" spans="1:21" x14ac:dyDescent="0.3">
      <c r="A11" t="s">
        <v>46</v>
      </c>
      <c r="B11">
        <f t="shared" si="1"/>
        <v>1.82</v>
      </c>
      <c r="C11">
        <f t="shared" si="2"/>
        <v>44</v>
      </c>
      <c r="D11">
        <v>182</v>
      </c>
      <c r="E11" s="4">
        <f t="shared" si="3"/>
        <v>71.5</v>
      </c>
      <c r="F11">
        <v>77</v>
      </c>
      <c r="G11">
        <f t="shared" si="4"/>
        <v>169.75</v>
      </c>
      <c r="H11">
        <f t="shared" si="5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0"/>
        <v>Attack of the Clones</v>
      </c>
      <c r="U11" t="s">
        <v>22</v>
      </c>
    </row>
    <row r="12" spans="1:21" x14ac:dyDescent="0.3">
      <c r="A12" t="s">
        <v>50</v>
      </c>
      <c r="B12">
        <f t="shared" si="1"/>
        <v>1.88</v>
      </c>
      <c r="C12">
        <f t="shared" si="2"/>
        <v>54</v>
      </c>
      <c r="D12">
        <v>188</v>
      </c>
      <c r="E12" s="4">
        <f t="shared" si="3"/>
        <v>74</v>
      </c>
      <c r="F12">
        <v>84</v>
      </c>
      <c r="G12">
        <f t="shared" si="4"/>
        <v>185</v>
      </c>
      <c r="H12">
        <f t="shared" si="5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0"/>
        <v>Attack of the Clones</v>
      </c>
      <c r="U12" t="s">
        <v>51</v>
      </c>
    </row>
    <row r="13" spans="1:21" x14ac:dyDescent="0.3">
      <c r="A13" t="s">
        <v>52</v>
      </c>
      <c r="B13">
        <f t="shared" si="1"/>
        <v>1.8</v>
      </c>
      <c r="C13">
        <f t="shared" si="2"/>
        <v>39</v>
      </c>
      <c r="D13">
        <v>180</v>
      </c>
      <c r="E13" s="4">
        <f t="shared" si="3"/>
        <v>70.5</v>
      </c>
      <c r="F13" t="s">
        <v>18</v>
      </c>
      <c r="G13" t="e">
        <f t="shared" si="4"/>
        <v>#VALUE!</v>
      </c>
      <c r="H13">
        <f t="shared" si="5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0"/>
        <v>Revenge of the Sith</v>
      </c>
      <c r="U13" t="s">
        <v>55</v>
      </c>
    </row>
    <row r="14" spans="1:21" x14ac:dyDescent="0.3">
      <c r="A14" t="s">
        <v>56</v>
      </c>
      <c r="B14">
        <f t="shared" si="1"/>
        <v>2.2799999999999998</v>
      </c>
      <c r="C14">
        <f t="shared" si="2"/>
        <v>78</v>
      </c>
      <c r="D14">
        <v>228</v>
      </c>
      <c r="E14" s="4">
        <f t="shared" si="3"/>
        <v>89.5</v>
      </c>
      <c r="F14">
        <v>112</v>
      </c>
      <c r="G14">
        <f t="shared" si="4"/>
        <v>246.75</v>
      </c>
      <c r="H14">
        <f t="shared" si="5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0"/>
        <v>Revenge of the Sith</v>
      </c>
      <c r="U14" t="s">
        <v>36</v>
      </c>
    </row>
    <row r="15" spans="1:21" x14ac:dyDescent="0.3">
      <c r="A15" t="s">
        <v>60</v>
      </c>
      <c r="B15">
        <f t="shared" si="1"/>
        <v>1.8</v>
      </c>
      <c r="C15">
        <f t="shared" si="2"/>
        <v>39</v>
      </c>
      <c r="D15">
        <v>180</v>
      </c>
      <c r="E15" s="4">
        <f t="shared" si="3"/>
        <v>70.5</v>
      </c>
      <c r="F15">
        <v>80</v>
      </c>
      <c r="G15">
        <f t="shared" si="4"/>
        <v>176.25</v>
      </c>
      <c r="H15">
        <f t="shared" si="5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0"/>
        <v>Return of the Jedi</v>
      </c>
      <c r="U15" t="s">
        <v>62</v>
      </c>
    </row>
    <row r="16" spans="1:21" x14ac:dyDescent="0.3">
      <c r="A16" t="s">
        <v>63</v>
      </c>
      <c r="B16">
        <f t="shared" si="1"/>
        <v>1.73</v>
      </c>
      <c r="C16">
        <f t="shared" si="2"/>
        <v>30</v>
      </c>
      <c r="D16">
        <v>173</v>
      </c>
      <c r="E16" s="4">
        <f t="shared" si="3"/>
        <v>68</v>
      </c>
      <c r="F16">
        <v>74</v>
      </c>
      <c r="G16">
        <f t="shared" si="4"/>
        <v>163</v>
      </c>
      <c r="H16">
        <f t="shared" si="5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0"/>
        <v>A New Hope</v>
      </c>
      <c r="U16" t="s">
        <v>43</v>
      </c>
    </row>
    <row r="17" spans="1:21" x14ac:dyDescent="0.3">
      <c r="A17" t="s">
        <v>67</v>
      </c>
      <c r="B17">
        <f t="shared" si="1"/>
        <v>1.75</v>
      </c>
      <c r="C17">
        <f t="shared" si="2"/>
        <v>31</v>
      </c>
      <c r="D17">
        <v>175</v>
      </c>
      <c r="E17" s="4">
        <f t="shared" si="3"/>
        <v>68.5</v>
      </c>
      <c r="F17">
        <v>1358</v>
      </c>
      <c r="G17">
        <f t="shared" si="4"/>
        <v>2993.75</v>
      </c>
      <c r="H17">
        <f t="shared" si="5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0"/>
        <v>The Phantom Menace</v>
      </c>
      <c r="U17" t="s">
        <v>72</v>
      </c>
    </row>
    <row r="18" spans="1:21" x14ac:dyDescent="0.3">
      <c r="A18" t="s">
        <v>73</v>
      </c>
      <c r="B18">
        <f t="shared" si="1"/>
        <v>1.7</v>
      </c>
      <c r="C18">
        <f t="shared" si="2"/>
        <v>24</v>
      </c>
      <c r="D18">
        <v>170</v>
      </c>
      <c r="E18" s="4">
        <f t="shared" si="3"/>
        <v>66.5</v>
      </c>
      <c r="F18">
        <v>77</v>
      </c>
      <c r="G18">
        <f t="shared" si="4"/>
        <v>169.75</v>
      </c>
      <c r="H18">
        <f t="shared" si="5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0"/>
        <v>Return of the Jedi</v>
      </c>
      <c r="U18" t="s">
        <v>75</v>
      </c>
    </row>
    <row r="19" spans="1:21" x14ac:dyDescent="0.3">
      <c r="A19" t="s">
        <v>76</v>
      </c>
      <c r="B19">
        <f t="shared" si="1"/>
        <v>1.8</v>
      </c>
      <c r="C19">
        <f t="shared" si="2"/>
        <v>39</v>
      </c>
      <c r="D19">
        <v>180</v>
      </c>
      <c r="E19" s="4">
        <f t="shared" si="3"/>
        <v>70.5</v>
      </c>
      <c r="F19">
        <v>110</v>
      </c>
      <c r="G19">
        <f t="shared" si="4"/>
        <v>242.5</v>
      </c>
      <c r="H19">
        <f t="shared" si="5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0"/>
        <v>A New Hope</v>
      </c>
      <c r="U19" t="s">
        <v>43</v>
      </c>
    </row>
    <row r="20" spans="1:21" x14ac:dyDescent="0.3">
      <c r="A20" t="s">
        <v>78</v>
      </c>
      <c r="B20">
        <f t="shared" si="1"/>
        <v>0.66</v>
      </c>
      <c r="C20">
        <f t="shared" si="2"/>
        <v>1</v>
      </c>
      <c r="D20">
        <v>66</v>
      </c>
      <c r="E20" s="4">
        <f t="shared" si="3"/>
        <v>25.5</v>
      </c>
      <c r="F20">
        <v>17</v>
      </c>
      <c r="G20">
        <f t="shared" si="4"/>
        <v>37.25</v>
      </c>
      <c r="H20">
        <f t="shared" si="5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0"/>
        <v>Attack of the Clones</v>
      </c>
      <c r="U20" t="s">
        <v>80</v>
      </c>
    </row>
    <row r="21" spans="1:21" x14ac:dyDescent="0.3">
      <c r="A21" t="s">
        <v>81</v>
      </c>
      <c r="B21">
        <f t="shared" si="1"/>
        <v>1.7</v>
      </c>
      <c r="C21">
        <f t="shared" si="2"/>
        <v>24</v>
      </c>
      <c r="D21">
        <v>170</v>
      </c>
      <c r="E21" s="4">
        <f t="shared" si="3"/>
        <v>66.5</v>
      </c>
      <c r="F21">
        <v>75</v>
      </c>
      <c r="G21">
        <f t="shared" si="4"/>
        <v>165.25</v>
      </c>
      <c r="H21">
        <f t="shared" si="5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0"/>
        <v>Attack of the Clones</v>
      </c>
      <c r="U21" t="s">
        <v>84</v>
      </c>
    </row>
    <row r="22" spans="1:21" x14ac:dyDescent="0.3">
      <c r="A22" t="s">
        <v>85</v>
      </c>
      <c r="B22">
        <f t="shared" si="1"/>
        <v>1.83</v>
      </c>
      <c r="C22">
        <f t="shared" si="2"/>
        <v>45</v>
      </c>
      <c r="D22">
        <v>183</v>
      </c>
      <c r="E22" s="4">
        <f t="shared" si="3"/>
        <v>72</v>
      </c>
      <c r="F22">
        <v>78.2</v>
      </c>
      <c r="G22">
        <f t="shared" si="4"/>
        <v>172.25</v>
      </c>
      <c r="H22">
        <f t="shared" si="5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0"/>
        <v>Attack of the Clones</v>
      </c>
      <c r="U22" t="s">
        <v>87</v>
      </c>
    </row>
    <row r="23" spans="1:21" x14ac:dyDescent="0.3">
      <c r="A23" t="s">
        <v>88</v>
      </c>
      <c r="B23">
        <f t="shared" si="1"/>
        <v>2</v>
      </c>
      <c r="C23">
        <f t="shared" si="2"/>
        <v>71</v>
      </c>
      <c r="D23">
        <v>200</v>
      </c>
      <c r="E23" s="4">
        <f t="shared" si="3"/>
        <v>78.5</v>
      </c>
      <c r="F23">
        <v>140</v>
      </c>
      <c r="G23">
        <f t="shared" si="4"/>
        <v>308.5</v>
      </c>
      <c r="H23">
        <f t="shared" si="5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0"/>
        <v>The Empire Strikes Back</v>
      </c>
      <c r="U23" t="s">
        <v>90</v>
      </c>
    </row>
    <row r="24" spans="1:21" x14ac:dyDescent="0.3">
      <c r="A24" t="s">
        <v>91</v>
      </c>
      <c r="B24">
        <f t="shared" si="1"/>
        <v>1.9</v>
      </c>
      <c r="C24">
        <f t="shared" si="2"/>
        <v>59</v>
      </c>
      <c r="D24">
        <v>190</v>
      </c>
      <c r="E24" s="4">
        <f t="shared" si="3"/>
        <v>74.5</v>
      </c>
      <c r="F24">
        <v>113</v>
      </c>
      <c r="G24">
        <f t="shared" si="4"/>
        <v>249</v>
      </c>
      <c r="H24">
        <f t="shared" si="5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0"/>
        <v>The Empire Strikes Back</v>
      </c>
      <c r="U24" t="s">
        <v>90</v>
      </c>
    </row>
    <row r="25" spans="1:21" x14ac:dyDescent="0.3">
      <c r="A25" t="s">
        <v>94</v>
      </c>
      <c r="B25">
        <f t="shared" si="1"/>
        <v>1.77</v>
      </c>
      <c r="C25">
        <f t="shared" si="2"/>
        <v>34</v>
      </c>
      <c r="D25">
        <v>177</v>
      </c>
      <c r="E25" s="4">
        <f t="shared" si="3"/>
        <v>69.5</v>
      </c>
      <c r="F25">
        <v>79</v>
      </c>
      <c r="G25">
        <f t="shared" si="4"/>
        <v>174</v>
      </c>
      <c r="H25">
        <f t="shared" si="5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1"/>
        <v>1.75</v>
      </c>
      <c r="C26">
        <f t="shared" si="2"/>
        <v>31</v>
      </c>
      <c r="D26">
        <v>175</v>
      </c>
      <c r="E26" s="4">
        <f t="shared" si="3"/>
        <v>68.5</v>
      </c>
      <c r="F26">
        <v>79</v>
      </c>
      <c r="G26">
        <f t="shared" si="4"/>
        <v>174</v>
      </c>
      <c r="H26">
        <f t="shared" si="5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1"/>
        <v>1.8</v>
      </c>
      <c r="C27">
        <f t="shared" si="2"/>
        <v>39</v>
      </c>
      <c r="D27">
        <v>180</v>
      </c>
      <c r="E27" s="4">
        <f t="shared" si="3"/>
        <v>70.5</v>
      </c>
      <c r="F27">
        <v>83</v>
      </c>
      <c r="G27">
        <f t="shared" si="4"/>
        <v>182.75</v>
      </c>
      <c r="H27">
        <f t="shared" si="5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1"/>
        <v>1.5</v>
      </c>
      <c r="C28">
        <f t="shared" si="2"/>
        <v>11</v>
      </c>
      <c r="D28">
        <v>150</v>
      </c>
      <c r="E28" s="4">
        <f t="shared" si="3"/>
        <v>59</v>
      </c>
      <c r="F28" t="s">
        <v>18</v>
      </c>
      <c r="G28" t="e">
        <f t="shared" si="4"/>
        <v>#VALUE!</v>
      </c>
      <c r="H28">
        <f t="shared" si="5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1"/>
        <v>#VALUE!</v>
      </c>
      <c r="C29" t="str">
        <f t="shared" si="2"/>
        <v>No Info</v>
      </c>
      <c r="D29" t="s">
        <v>18</v>
      </c>
      <c r="E29" s="4" t="e">
        <f t="shared" si="3"/>
        <v>#VALUE!</v>
      </c>
      <c r="F29" t="s">
        <v>18</v>
      </c>
      <c r="G29" t="e">
        <f t="shared" si="4"/>
        <v>#VALUE!</v>
      </c>
      <c r="H29">
        <f t="shared" si="5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1"/>
        <v>0.88</v>
      </c>
      <c r="C30">
        <f t="shared" si="2"/>
        <v>3</v>
      </c>
      <c r="D30">
        <v>88</v>
      </c>
      <c r="E30" s="4">
        <f t="shared" si="3"/>
        <v>34.5</v>
      </c>
      <c r="F30">
        <v>20</v>
      </c>
      <c r="G30">
        <f t="shared" si="4"/>
        <v>44</v>
      </c>
      <c r="H30">
        <f t="shared" si="5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1"/>
        <v>1.6</v>
      </c>
      <c r="C31">
        <f t="shared" si="2"/>
        <v>14</v>
      </c>
      <c r="D31">
        <v>160</v>
      </c>
      <c r="E31" s="4">
        <f t="shared" si="3"/>
        <v>62.5</v>
      </c>
      <c r="F31">
        <v>68</v>
      </c>
      <c r="G31">
        <f t="shared" si="4"/>
        <v>149.75</v>
      </c>
      <c r="H31">
        <f t="shared" si="5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1"/>
        <v>1.93</v>
      </c>
      <c r="C32">
        <f t="shared" si="2"/>
        <v>63</v>
      </c>
      <c r="D32">
        <v>193</v>
      </c>
      <c r="E32" s="4">
        <f t="shared" si="3"/>
        <v>75.5</v>
      </c>
      <c r="F32">
        <v>89</v>
      </c>
      <c r="G32">
        <f t="shared" si="4"/>
        <v>196</v>
      </c>
      <c r="H32">
        <f t="shared" si="5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1"/>
        <v>1.91</v>
      </c>
      <c r="C33">
        <f t="shared" si="2"/>
        <v>60</v>
      </c>
      <c r="D33">
        <v>191</v>
      </c>
      <c r="E33" s="4">
        <f t="shared" si="3"/>
        <v>75</v>
      </c>
      <c r="F33">
        <v>90</v>
      </c>
      <c r="G33">
        <f t="shared" si="4"/>
        <v>198.25</v>
      </c>
      <c r="H33">
        <f t="shared" si="5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1"/>
        <v>1.7</v>
      </c>
      <c r="C34">
        <f t="shared" si="2"/>
        <v>24</v>
      </c>
      <c r="D34">
        <v>170</v>
      </c>
      <c r="E34" s="4">
        <f t="shared" si="3"/>
        <v>66.5</v>
      </c>
      <c r="F34" t="s">
        <v>18</v>
      </c>
      <c r="G34" t="e">
        <f t="shared" si="4"/>
        <v>#VALUE!</v>
      </c>
      <c r="H34">
        <f t="shared" si="5"/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1"/>
        <v>1.96</v>
      </c>
      <c r="C35">
        <f t="shared" si="2"/>
        <v>66</v>
      </c>
      <c r="D35">
        <v>196</v>
      </c>
      <c r="E35" s="4">
        <f t="shared" si="3"/>
        <v>77</v>
      </c>
      <c r="F35">
        <v>66</v>
      </c>
      <c r="G35">
        <f t="shared" si="4"/>
        <v>145.5</v>
      </c>
      <c r="H35">
        <f t="shared" si="5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1"/>
        <v>2.2400000000000002</v>
      </c>
      <c r="C36">
        <f t="shared" si="2"/>
        <v>77</v>
      </c>
      <c r="D36">
        <v>224</v>
      </c>
      <c r="E36" s="4">
        <f t="shared" si="3"/>
        <v>88</v>
      </c>
      <c r="F36">
        <v>82</v>
      </c>
      <c r="G36">
        <f t="shared" si="4"/>
        <v>180.75</v>
      </c>
      <c r="H36">
        <f t="shared" si="5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1"/>
        <v>2.06</v>
      </c>
      <c r="C37">
        <f t="shared" si="2"/>
        <v>73</v>
      </c>
      <c r="D37">
        <v>206</v>
      </c>
      <c r="E37" s="4">
        <f t="shared" si="3"/>
        <v>81</v>
      </c>
      <c r="F37" t="s">
        <v>18</v>
      </c>
      <c r="G37" t="e">
        <f t="shared" si="4"/>
        <v>#VALUE!</v>
      </c>
      <c r="H37">
        <f t="shared" si="5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1"/>
        <v>1.83</v>
      </c>
      <c r="C38">
        <f t="shared" si="2"/>
        <v>45</v>
      </c>
      <c r="D38">
        <v>183</v>
      </c>
      <c r="E38" s="4">
        <f t="shared" si="3"/>
        <v>72</v>
      </c>
      <c r="F38" t="s">
        <v>18</v>
      </c>
      <c r="G38" t="e">
        <f t="shared" si="4"/>
        <v>#VALUE!</v>
      </c>
      <c r="H38">
        <f t="shared" si="5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1"/>
        <v>1.37</v>
      </c>
      <c r="C39">
        <f t="shared" si="2"/>
        <v>10</v>
      </c>
      <c r="D39">
        <v>137</v>
      </c>
      <c r="E39" s="4">
        <f t="shared" si="3"/>
        <v>53.5</v>
      </c>
      <c r="F39" t="s">
        <v>18</v>
      </c>
      <c r="G39" t="e">
        <f t="shared" si="4"/>
        <v>#VALUE!</v>
      </c>
      <c r="H39">
        <f t="shared" si="5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1"/>
        <v>1.1200000000000001</v>
      </c>
      <c r="C40">
        <f t="shared" si="2"/>
        <v>8</v>
      </c>
      <c r="D40">
        <v>112</v>
      </c>
      <c r="E40" s="4">
        <f t="shared" si="3"/>
        <v>44</v>
      </c>
      <c r="F40">
        <v>40</v>
      </c>
      <c r="G40">
        <f t="shared" si="4"/>
        <v>88</v>
      </c>
      <c r="H40">
        <f t="shared" si="5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1"/>
        <v>1.83</v>
      </c>
      <c r="C41">
        <f t="shared" si="2"/>
        <v>45</v>
      </c>
      <c r="D41">
        <v>183</v>
      </c>
      <c r="E41" s="4">
        <f t="shared" si="3"/>
        <v>72</v>
      </c>
      <c r="F41" t="s">
        <v>18</v>
      </c>
      <c r="G41" t="e">
        <f t="shared" si="4"/>
        <v>#VALUE!</v>
      </c>
      <c r="H41">
        <f t="shared" si="5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1"/>
        <v>1.63</v>
      </c>
      <c r="C42">
        <f t="shared" si="2"/>
        <v>15</v>
      </c>
      <c r="D42">
        <v>163</v>
      </c>
      <c r="E42" s="4">
        <f t="shared" si="3"/>
        <v>64</v>
      </c>
      <c r="F42" t="s">
        <v>18</v>
      </c>
      <c r="G42" t="e">
        <f t="shared" si="4"/>
        <v>#VALUE!</v>
      </c>
      <c r="H42">
        <f t="shared" si="5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1"/>
        <v>1.75</v>
      </c>
      <c r="C43">
        <f t="shared" si="2"/>
        <v>31</v>
      </c>
      <c r="D43">
        <v>175</v>
      </c>
      <c r="E43" s="4">
        <f t="shared" si="3"/>
        <v>68.5</v>
      </c>
      <c r="F43">
        <v>80</v>
      </c>
      <c r="G43">
        <f t="shared" si="4"/>
        <v>176.25</v>
      </c>
      <c r="H43">
        <f t="shared" si="5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1"/>
        <v>1.8</v>
      </c>
      <c r="C44">
        <f t="shared" si="2"/>
        <v>39</v>
      </c>
      <c r="D44">
        <v>180</v>
      </c>
      <c r="E44" s="4">
        <f t="shared" si="3"/>
        <v>70.5</v>
      </c>
      <c r="F44" t="s">
        <v>18</v>
      </c>
      <c r="G44" t="e">
        <f t="shared" si="4"/>
        <v>#VALUE!</v>
      </c>
      <c r="H44">
        <f t="shared" si="5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1"/>
        <v>1.78</v>
      </c>
      <c r="C45">
        <f t="shared" si="2"/>
        <v>35</v>
      </c>
      <c r="D45">
        <v>178</v>
      </c>
      <c r="E45" s="4">
        <f t="shared" si="3"/>
        <v>70</v>
      </c>
      <c r="F45">
        <v>55</v>
      </c>
      <c r="G45">
        <f t="shared" si="4"/>
        <v>121.25</v>
      </c>
      <c r="H45">
        <f t="shared" si="5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1"/>
        <v>0.94</v>
      </c>
      <c r="C46">
        <f t="shared" si="2"/>
        <v>4</v>
      </c>
      <c r="D46">
        <v>94</v>
      </c>
      <c r="E46" s="4">
        <f t="shared" si="3"/>
        <v>37</v>
      </c>
      <c r="F46">
        <v>45</v>
      </c>
      <c r="G46">
        <f t="shared" si="4"/>
        <v>99</v>
      </c>
      <c r="H46">
        <f t="shared" si="5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1"/>
        <v>1.22</v>
      </c>
      <c r="C47">
        <f t="shared" si="2"/>
        <v>9</v>
      </c>
      <c r="D47">
        <v>122</v>
      </c>
      <c r="E47" s="4">
        <f t="shared" si="3"/>
        <v>48</v>
      </c>
      <c r="F47" t="s">
        <v>18</v>
      </c>
      <c r="G47" t="e">
        <f t="shared" si="4"/>
        <v>#VALUE!</v>
      </c>
      <c r="H47">
        <f t="shared" si="5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1"/>
        <v>1.63</v>
      </c>
      <c r="C48">
        <f t="shared" si="2"/>
        <v>15</v>
      </c>
      <c r="D48">
        <v>163</v>
      </c>
      <c r="E48" s="4">
        <f t="shared" si="3"/>
        <v>64</v>
      </c>
      <c r="F48">
        <v>65</v>
      </c>
      <c r="G48">
        <f t="shared" si="4"/>
        <v>143.25</v>
      </c>
      <c r="H48">
        <f t="shared" si="5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1"/>
        <v>1.88</v>
      </c>
      <c r="C49">
        <f t="shared" si="2"/>
        <v>54</v>
      </c>
      <c r="D49">
        <v>188</v>
      </c>
      <c r="E49" s="4">
        <f t="shared" si="3"/>
        <v>74</v>
      </c>
      <c r="F49">
        <v>84</v>
      </c>
      <c r="G49">
        <f t="shared" si="4"/>
        <v>185</v>
      </c>
      <c r="H49">
        <f t="shared" si="5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1"/>
        <v>1.98</v>
      </c>
      <c r="C50">
        <f t="shared" si="2"/>
        <v>69</v>
      </c>
      <c r="D50">
        <v>198</v>
      </c>
      <c r="E50" s="4">
        <f t="shared" si="3"/>
        <v>77.5</v>
      </c>
      <c r="F50">
        <v>82</v>
      </c>
      <c r="G50">
        <f t="shared" si="4"/>
        <v>180.75</v>
      </c>
      <c r="H50">
        <f t="shared" si="5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1"/>
        <v>1.96</v>
      </c>
      <c r="C51">
        <f t="shared" si="2"/>
        <v>66</v>
      </c>
      <c r="D51">
        <v>196</v>
      </c>
      <c r="E51" s="4">
        <f t="shared" si="3"/>
        <v>77</v>
      </c>
      <c r="F51">
        <v>87</v>
      </c>
      <c r="G51">
        <f t="shared" si="4"/>
        <v>191.75</v>
      </c>
      <c r="H51">
        <f t="shared" si="5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1"/>
        <v>1.71</v>
      </c>
      <c r="C52">
        <f t="shared" si="2"/>
        <v>28</v>
      </c>
      <c r="D52">
        <v>171</v>
      </c>
      <c r="E52" s="4">
        <f t="shared" si="3"/>
        <v>67</v>
      </c>
      <c r="F52" t="s">
        <v>18</v>
      </c>
      <c r="G52" t="e">
        <f t="shared" si="4"/>
        <v>#VALUE!</v>
      </c>
      <c r="H52">
        <f t="shared" si="5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1"/>
        <v>1.84</v>
      </c>
      <c r="C53">
        <f t="shared" si="2"/>
        <v>52</v>
      </c>
      <c r="D53">
        <v>184</v>
      </c>
      <c r="E53" s="4">
        <f t="shared" si="3"/>
        <v>72</v>
      </c>
      <c r="F53">
        <v>50</v>
      </c>
      <c r="G53">
        <f t="shared" si="4"/>
        <v>110</v>
      </c>
      <c r="H53">
        <f t="shared" si="5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1"/>
        <v>1.88</v>
      </c>
      <c r="C54">
        <f t="shared" si="2"/>
        <v>54</v>
      </c>
      <c r="D54">
        <v>188</v>
      </c>
      <c r="E54" s="4">
        <f t="shared" si="3"/>
        <v>74</v>
      </c>
      <c r="F54" t="s">
        <v>18</v>
      </c>
      <c r="G54" t="e">
        <f t="shared" si="4"/>
        <v>#VALUE!</v>
      </c>
      <c r="H54">
        <f t="shared" si="5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1"/>
        <v>2.64</v>
      </c>
      <c r="C55">
        <f t="shared" si="2"/>
        <v>81</v>
      </c>
      <c r="D55">
        <v>264</v>
      </c>
      <c r="E55" s="4">
        <f t="shared" si="3"/>
        <v>103.5</v>
      </c>
      <c r="F55" t="s">
        <v>18</v>
      </c>
      <c r="G55" t="e">
        <f t="shared" si="4"/>
        <v>#VALUE!</v>
      </c>
      <c r="H55">
        <f t="shared" si="5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1"/>
        <v>1.88</v>
      </c>
      <c r="C56">
        <f t="shared" si="2"/>
        <v>54</v>
      </c>
      <c r="D56">
        <v>188</v>
      </c>
      <c r="E56" s="4">
        <f t="shared" si="3"/>
        <v>74</v>
      </c>
      <c r="F56">
        <v>80</v>
      </c>
      <c r="G56">
        <f t="shared" si="4"/>
        <v>176.25</v>
      </c>
      <c r="H56">
        <f t="shared" si="5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1"/>
        <v>1.96</v>
      </c>
      <c r="C57">
        <f t="shared" si="2"/>
        <v>66</v>
      </c>
      <c r="D57">
        <v>196</v>
      </c>
      <c r="E57" s="4">
        <f t="shared" si="3"/>
        <v>77</v>
      </c>
      <c r="F57" t="s">
        <v>18</v>
      </c>
      <c r="G57" t="e">
        <f t="shared" si="4"/>
        <v>#VALUE!</v>
      </c>
      <c r="H57">
        <f t="shared" si="5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1"/>
        <v>1.85</v>
      </c>
      <c r="C58">
        <f t="shared" si="2"/>
        <v>53</v>
      </c>
      <c r="D58">
        <v>185</v>
      </c>
      <c r="E58" s="4">
        <f t="shared" si="3"/>
        <v>72.5</v>
      </c>
      <c r="F58">
        <v>85</v>
      </c>
      <c r="G58">
        <f t="shared" si="4"/>
        <v>187.25</v>
      </c>
      <c r="H58">
        <f t="shared" si="5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1"/>
        <v>1.57</v>
      </c>
      <c r="C59">
        <f t="shared" si="2"/>
        <v>13</v>
      </c>
      <c r="D59">
        <v>157</v>
      </c>
      <c r="E59" s="4">
        <f t="shared" si="3"/>
        <v>61.5</v>
      </c>
      <c r="F59" t="s">
        <v>18</v>
      </c>
      <c r="G59" t="e">
        <f t="shared" si="4"/>
        <v>#VALUE!</v>
      </c>
      <c r="H59">
        <f t="shared" si="5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1"/>
        <v>1.83</v>
      </c>
      <c r="C60">
        <f t="shared" si="2"/>
        <v>45</v>
      </c>
      <c r="D60">
        <v>183</v>
      </c>
      <c r="E60" s="4">
        <f t="shared" si="3"/>
        <v>72</v>
      </c>
      <c r="F60" t="s">
        <v>18</v>
      </c>
      <c r="G60" t="e">
        <f t="shared" si="4"/>
        <v>#VALUE!</v>
      </c>
      <c r="H60">
        <f t="shared" si="5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1"/>
        <v>1.83</v>
      </c>
      <c r="C61">
        <f t="shared" si="2"/>
        <v>45</v>
      </c>
      <c r="D61">
        <v>183</v>
      </c>
      <c r="E61" s="4">
        <f t="shared" si="3"/>
        <v>72</v>
      </c>
      <c r="F61">
        <v>80</v>
      </c>
      <c r="G61">
        <f t="shared" si="4"/>
        <v>176.25</v>
      </c>
      <c r="H61">
        <f t="shared" si="5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1"/>
        <v>1.7</v>
      </c>
      <c r="C62">
        <f t="shared" si="2"/>
        <v>24</v>
      </c>
      <c r="D62">
        <v>170</v>
      </c>
      <c r="E62" s="4">
        <f t="shared" si="3"/>
        <v>66.5</v>
      </c>
      <c r="F62">
        <v>56.2</v>
      </c>
      <c r="G62">
        <f t="shared" si="4"/>
        <v>123.75</v>
      </c>
      <c r="H62">
        <f t="shared" si="5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1"/>
        <v>1.66</v>
      </c>
      <c r="C63">
        <f t="shared" si="2"/>
        <v>20</v>
      </c>
      <c r="D63">
        <v>166</v>
      </c>
      <c r="E63" s="4">
        <f t="shared" si="3"/>
        <v>65</v>
      </c>
      <c r="F63">
        <v>50</v>
      </c>
      <c r="G63">
        <f t="shared" si="4"/>
        <v>110</v>
      </c>
      <c r="H63">
        <f t="shared" si="5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1"/>
        <v>1.65</v>
      </c>
      <c r="C64">
        <f t="shared" si="2"/>
        <v>17</v>
      </c>
      <c r="D64">
        <v>165</v>
      </c>
      <c r="E64" s="4">
        <f t="shared" si="3"/>
        <v>64.5</v>
      </c>
      <c r="F64" t="s">
        <v>18</v>
      </c>
      <c r="G64" t="e">
        <f t="shared" si="4"/>
        <v>#VALUE!</v>
      </c>
      <c r="H64">
        <f t="shared" si="5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1"/>
        <v>1.93</v>
      </c>
      <c r="C65">
        <f t="shared" si="2"/>
        <v>63</v>
      </c>
      <c r="D65">
        <v>193</v>
      </c>
      <c r="E65" s="4">
        <f t="shared" si="3"/>
        <v>75.5</v>
      </c>
      <c r="F65">
        <v>80</v>
      </c>
      <c r="G65">
        <f t="shared" si="4"/>
        <v>176.25</v>
      </c>
      <c r="H65">
        <f t="shared" si="5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1"/>
        <v>1.91</v>
      </c>
      <c r="C66">
        <f t="shared" si="2"/>
        <v>60</v>
      </c>
      <c r="D66">
        <v>191</v>
      </c>
      <c r="E66" s="4">
        <f t="shared" si="3"/>
        <v>75</v>
      </c>
      <c r="F66" t="s">
        <v>18</v>
      </c>
      <c r="G66" t="e">
        <f t="shared" si="4"/>
        <v>#VALUE!</v>
      </c>
      <c r="H66">
        <f t="shared" si="5"/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1">D67/100</f>
        <v>1.83</v>
      </c>
      <c r="C67">
        <f t="shared" ref="C67:C88" si="12">IF(ISNUMBER(D67),RANK(D67,$D$2:$D$88,1),"No Info")</f>
        <v>45</v>
      </c>
      <c r="D67">
        <v>183</v>
      </c>
      <c r="E67" s="4">
        <f t="shared" ref="E67:E88" si="13">FLOOR(CONVERT(D67,"cm","in"),0.5)</f>
        <v>72</v>
      </c>
      <c r="F67">
        <v>79</v>
      </c>
      <c r="G67">
        <f t="shared" ref="G67:G88" si="14">FLOOR(CONVERT(F67,"kg","lbm"),0.25)</f>
        <v>174</v>
      </c>
      <c r="H67">
        <f t="shared" ref="H67:H88" si="15">IF(OR(D67="NA",F67="NA"),0, F67/B67^2)</f>
        <v>23.589835468362743</v>
      </c>
      <c r="I67">
        <f t="shared" ref="I67:I88" si="16">RANK(H67,$H$2:$H$88)</f>
        <v>37</v>
      </c>
      <c r="J67" t="str">
        <f t="shared" ref="J67:J88" si="17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8">ISNUMBER(N67)</f>
        <v>1</v>
      </c>
      <c r="P67">
        <f t="shared" ref="P67:P87" si="19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1"/>
        <v>1.68</v>
      </c>
      <c r="C68">
        <f t="shared" si="12"/>
        <v>23</v>
      </c>
      <c r="D68">
        <v>168</v>
      </c>
      <c r="E68" s="4">
        <f t="shared" si="13"/>
        <v>66</v>
      </c>
      <c r="F68">
        <v>55</v>
      </c>
      <c r="G68">
        <f t="shared" si="14"/>
        <v>121.25</v>
      </c>
      <c r="H68">
        <f t="shared" si="15"/>
        <v>19.486961451247168</v>
      </c>
      <c r="I68">
        <f t="shared" si="16"/>
        <v>47</v>
      </c>
      <c r="J68" t="str">
        <f t="shared" si="17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8"/>
        <v>0</v>
      </c>
      <c r="P68">
        <f t="shared" si="19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1"/>
        <v>1.98</v>
      </c>
      <c r="C69">
        <f t="shared" si="12"/>
        <v>69</v>
      </c>
      <c r="D69">
        <v>198</v>
      </c>
      <c r="E69" s="4">
        <f t="shared" si="13"/>
        <v>77.5</v>
      </c>
      <c r="F69">
        <v>102</v>
      </c>
      <c r="G69">
        <f t="shared" si="14"/>
        <v>224.75</v>
      </c>
      <c r="H69">
        <f t="shared" si="15"/>
        <v>26.017753290480563</v>
      </c>
      <c r="I69">
        <f t="shared" si="16"/>
        <v>19</v>
      </c>
      <c r="J69" t="str">
        <f t="shared" si="17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8"/>
        <v>0</v>
      </c>
      <c r="P69">
        <f t="shared" si="19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1"/>
        <v>2.29</v>
      </c>
      <c r="C70">
        <f t="shared" si="12"/>
        <v>79</v>
      </c>
      <c r="D70">
        <v>229</v>
      </c>
      <c r="E70" s="4">
        <f t="shared" si="13"/>
        <v>90</v>
      </c>
      <c r="F70">
        <v>88</v>
      </c>
      <c r="G70">
        <f t="shared" si="14"/>
        <v>194</v>
      </c>
      <c r="H70">
        <f t="shared" si="15"/>
        <v>16.780763143342039</v>
      </c>
      <c r="I70">
        <f t="shared" si="16"/>
        <v>54</v>
      </c>
      <c r="J70" t="str">
        <f t="shared" si="17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8"/>
        <v>0</v>
      </c>
      <c r="P70">
        <f t="shared" si="19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1"/>
        <v>2.13</v>
      </c>
      <c r="C71">
        <f t="shared" si="12"/>
        <v>75</v>
      </c>
      <c r="D71">
        <v>213</v>
      </c>
      <c r="E71" s="4">
        <f t="shared" si="13"/>
        <v>83.5</v>
      </c>
      <c r="F71" t="s">
        <v>18</v>
      </c>
      <c r="G71" t="e">
        <f t="shared" si="14"/>
        <v>#VALUE!</v>
      </c>
      <c r="H71">
        <f t="shared" si="15"/>
        <v>0</v>
      </c>
      <c r="I71">
        <f t="shared" si="16"/>
        <v>60</v>
      </c>
      <c r="J71" t="str">
        <f t="shared" si="17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8"/>
        <v>0</v>
      </c>
      <c r="P71">
        <f t="shared" si="19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1"/>
        <v>1.67</v>
      </c>
      <c r="C72">
        <f t="shared" si="12"/>
        <v>21</v>
      </c>
      <c r="D72">
        <v>167</v>
      </c>
      <c r="E72" s="4">
        <f t="shared" si="13"/>
        <v>65.5</v>
      </c>
      <c r="F72" t="s">
        <v>18</v>
      </c>
      <c r="G72" t="e">
        <f t="shared" si="14"/>
        <v>#VALUE!</v>
      </c>
      <c r="H72">
        <f t="shared" si="15"/>
        <v>0</v>
      </c>
      <c r="I72">
        <f t="shared" si="16"/>
        <v>60</v>
      </c>
      <c r="J72" t="str">
        <f t="shared" si="17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8"/>
        <v>0</v>
      </c>
      <c r="P72">
        <f t="shared" si="19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1"/>
        <v>0.79</v>
      </c>
      <c r="C73">
        <f t="shared" si="12"/>
        <v>2</v>
      </c>
      <c r="D73">
        <v>79</v>
      </c>
      <c r="E73" s="4">
        <f t="shared" si="13"/>
        <v>31</v>
      </c>
      <c r="F73">
        <v>15</v>
      </c>
      <c r="G73">
        <f t="shared" si="14"/>
        <v>33</v>
      </c>
      <c r="H73">
        <f t="shared" si="15"/>
        <v>24.034609838166958</v>
      </c>
      <c r="I73">
        <f t="shared" si="16"/>
        <v>32</v>
      </c>
      <c r="J73" t="str">
        <f t="shared" si="17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8"/>
        <v>0</v>
      </c>
      <c r="P73">
        <f t="shared" si="19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1"/>
        <v>0.96</v>
      </c>
      <c r="C74">
        <f t="shared" si="12"/>
        <v>5</v>
      </c>
      <c r="D74">
        <v>96</v>
      </c>
      <c r="E74" s="4">
        <f t="shared" si="13"/>
        <v>37.5</v>
      </c>
      <c r="F74" t="s">
        <v>18</v>
      </c>
      <c r="G74" t="e">
        <f t="shared" si="14"/>
        <v>#VALUE!</v>
      </c>
      <c r="H74">
        <f t="shared" si="15"/>
        <v>0</v>
      </c>
      <c r="I74">
        <f t="shared" si="16"/>
        <v>60</v>
      </c>
      <c r="J74" t="str">
        <f t="shared" si="17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8"/>
        <v>0</v>
      </c>
      <c r="P74">
        <f t="shared" si="19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1"/>
        <v>1.93</v>
      </c>
      <c r="C75">
        <f t="shared" si="12"/>
        <v>63</v>
      </c>
      <c r="D75">
        <v>193</v>
      </c>
      <c r="E75" s="4">
        <f t="shared" si="13"/>
        <v>75.5</v>
      </c>
      <c r="F75">
        <v>48</v>
      </c>
      <c r="G75">
        <f t="shared" si="14"/>
        <v>105.75</v>
      </c>
      <c r="H75">
        <f t="shared" si="15"/>
        <v>12.886251979918924</v>
      </c>
      <c r="I75">
        <f t="shared" si="16"/>
        <v>59</v>
      </c>
      <c r="J75" t="str">
        <f t="shared" si="17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8"/>
        <v>0</v>
      </c>
      <c r="P75">
        <f t="shared" si="19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1"/>
        <v>1.91</v>
      </c>
      <c r="C76">
        <f t="shared" si="12"/>
        <v>60</v>
      </c>
      <c r="D76">
        <v>191</v>
      </c>
      <c r="E76" s="4">
        <f t="shared" si="13"/>
        <v>75</v>
      </c>
      <c r="F76" t="s">
        <v>18</v>
      </c>
      <c r="G76" t="e">
        <f t="shared" si="14"/>
        <v>#VALUE!</v>
      </c>
      <c r="H76">
        <f t="shared" si="15"/>
        <v>0</v>
      </c>
      <c r="I76">
        <f t="shared" si="16"/>
        <v>60</v>
      </c>
      <c r="J76" t="str">
        <f t="shared" si="17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8"/>
        <v>0</v>
      </c>
      <c r="P76">
        <f t="shared" si="19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1"/>
        <v>1.78</v>
      </c>
      <c r="C77">
        <f t="shared" si="12"/>
        <v>35</v>
      </c>
      <c r="D77">
        <v>178</v>
      </c>
      <c r="E77" s="4">
        <f t="shared" si="13"/>
        <v>70</v>
      </c>
      <c r="F77">
        <v>57</v>
      </c>
      <c r="G77">
        <f t="shared" si="14"/>
        <v>125.5</v>
      </c>
      <c r="H77">
        <f t="shared" si="15"/>
        <v>17.99015275849009</v>
      </c>
      <c r="I77">
        <f t="shared" si="16"/>
        <v>51</v>
      </c>
      <c r="J77" t="str">
        <f t="shared" si="17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8"/>
        <v>0</v>
      </c>
      <c r="P77">
        <f t="shared" si="19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1"/>
        <v>2.16</v>
      </c>
      <c r="C78">
        <f t="shared" si="12"/>
        <v>76</v>
      </c>
      <c r="D78">
        <v>216</v>
      </c>
      <c r="E78" s="4">
        <f t="shared" si="13"/>
        <v>85</v>
      </c>
      <c r="F78">
        <v>159</v>
      </c>
      <c r="G78">
        <f t="shared" si="14"/>
        <v>350.5</v>
      </c>
      <c r="H78">
        <f t="shared" si="15"/>
        <v>34.079218106995881</v>
      </c>
      <c r="I78">
        <f t="shared" si="16"/>
        <v>7</v>
      </c>
      <c r="J78" t="str">
        <f t="shared" si="17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8"/>
        <v>0</v>
      </c>
      <c r="P78">
        <f t="shared" si="19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1"/>
        <v>2.34</v>
      </c>
      <c r="C79">
        <f t="shared" si="12"/>
        <v>80</v>
      </c>
      <c r="D79">
        <v>234</v>
      </c>
      <c r="E79" s="4">
        <f t="shared" si="13"/>
        <v>92</v>
      </c>
      <c r="F79">
        <v>136</v>
      </c>
      <c r="G79">
        <f t="shared" si="14"/>
        <v>299.75</v>
      </c>
      <c r="H79">
        <f t="shared" si="15"/>
        <v>24.837460734896638</v>
      </c>
      <c r="I79">
        <f t="shared" si="16"/>
        <v>26</v>
      </c>
      <c r="J79" t="str">
        <f t="shared" si="17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8"/>
        <v>0</v>
      </c>
      <c r="P79">
        <f t="shared" si="19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1"/>
        <v>1.88</v>
      </c>
      <c r="C80">
        <f t="shared" si="12"/>
        <v>54</v>
      </c>
      <c r="D80">
        <v>188</v>
      </c>
      <c r="E80" s="4">
        <f t="shared" si="13"/>
        <v>74</v>
      </c>
      <c r="F80">
        <v>79</v>
      </c>
      <c r="G80">
        <f t="shared" si="14"/>
        <v>174</v>
      </c>
      <c r="H80">
        <f t="shared" si="15"/>
        <v>22.351742870076958</v>
      </c>
      <c r="I80">
        <f t="shared" si="16"/>
        <v>42</v>
      </c>
      <c r="J80" t="str">
        <f t="shared" si="17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8"/>
        <v>0</v>
      </c>
      <c r="P80">
        <f t="shared" si="19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1"/>
        <v>1.78</v>
      </c>
      <c r="C81">
        <f t="shared" si="12"/>
        <v>35</v>
      </c>
      <c r="D81">
        <v>178</v>
      </c>
      <c r="E81" s="4">
        <f t="shared" si="13"/>
        <v>70</v>
      </c>
      <c r="F81">
        <v>48</v>
      </c>
      <c r="G81">
        <f t="shared" si="14"/>
        <v>105.75</v>
      </c>
      <c r="H81">
        <f t="shared" si="15"/>
        <v>15.149602322939023</v>
      </c>
      <c r="I81">
        <f t="shared" si="16"/>
        <v>57</v>
      </c>
      <c r="J81" t="str">
        <f t="shared" si="17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8"/>
        <v>0</v>
      </c>
      <c r="P81">
        <f t="shared" si="19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1"/>
        <v>2.06</v>
      </c>
      <c r="C82">
        <f t="shared" si="12"/>
        <v>73</v>
      </c>
      <c r="D82">
        <v>206</v>
      </c>
      <c r="E82" s="4">
        <f t="shared" si="13"/>
        <v>81</v>
      </c>
      <c r="F82">
        <v>80</v>
      </c>
      <c r="G82">
        <f t="shared" si="14"/>
        <v>176.25</v>
      </c>
      <c r="H82">
        <f t="shared" si="15"/>
        <v>18.851918182675089</v>
      </c>
      <c r="I82">
        <f t="shared" si="16"/>
        <v>49</v>
      </c>
      <c r="J82" t="str">
        <f t="shared" si="17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8"/>
        <v>0</v>
      </c>
      <c r="P82">
        <f t="shared" si="19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1"/>
        <v>#VALUE!</v>
      </c>
      <c r="C83" t="str">
        <f t="shared" si="12"/>
        <v>No Info</v>
      </c>
      <c r="D83" t="s">
        <v>18</v>
      </c>
      <c r="E83" s="4" t="e">
        <f t="shared" si="13"/>
        <v>#VALUE!</v>
      </c>
      <c r="F83" t="s">
        <v>18</v>
      </c>
      <c r="G83" t="e">
        <f t="shared" si="14"/>
        <v>#VALUE!</v>
      </c>
      <c r="H83">
        <f t="shared" si="15"/>
        <v>0</v>
      </c>
      <c r="I83">
        <f t="shared" si="16"/>
        <v>60</v>
      </c>
      <c r="J83" t="str">
        <f t="shared" si="17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8"/>
        <v>0</v>
      </c>
      <c r="P83">
        <f t="shared" si="19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1"/>
        <v>#VALUE!</v>
      </c>
      <c r="C84" t="str">
        <f t="shared" si="12"/>
        <v>No Info</v>
      </c>
      <c r="D84" t="s">
        <v>18</v>
      </c>
      <c r="E84" s="4" t="e">
        <f t="shared" si="13"/>
        <v>#VALUE!</v>
      </c>
      <c r="F84" t="s">
        <v>18</v>
      </c>
      <c r="G84" t="e">
        <f t="shared" si="14"/>
        <v>#VALUE!</v>
      </c>
      <c r="H84">
        <f t="shared" si="15"/>
        <v>0</v>
      </c>
      <c r="I84">
        <f t="shared" si="16"/>
        <v>60</v>
      </c>
      <c r="J84" t="str">
        <f t="shared" si="17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8"/>
        <v>0</v>
      </c>
      <c r="P84">
        <f t="shared" si="19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1"/>
        <v>#VALUE!</v>
      </c>
      <c r="C85" t="str">
        <f t="shared" si="12"/>
        <v>No Info</v>
      </c>
      <c r="D85" t="s">
        <v>18</v>
      </c>
      <c r="E85" s="4" t="e">
        <f t="shared" si="13"/>
        <v>#VALUE!</v>
      </c>
      <c r="F85" t="s">
        <v>18</v>
      </c>
      <c r="G85" t="e">
        <f t="shared" si="14"/>
        <v>#VALUE!</v>
      </c>
      <c r="H85">
        <f t="shared" si="15"/>
        <v>0</v>
      </c>
      <c r="I85">
        <f t="shared" si="16"/>
        <v>60</v>
      </c>
      <c r="J85" t="str">
        <f t="shared" si="17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8"/>
        <v>0</v>
      </c>
      <c r="P85">
        <f t="shared" si="19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1"/>
        <v>#VALUE!</v>
      </c>
      <c r="C86" t="str">
        <f t="shared" si="12"/>
        <v>No Info</v>
      </c>
      <c r="D86" t="s">
        <v>18</v>
      </c>
      <c r="E86" s="4" t="e">
        <f t="shared" si="13"/>
        <v>#VALUE!</v>
      </c>
      <c r="F86" t="s">
        <v>18</v>
      </c>
      <c r="G86" t="e">
        <f t="shared" si="14"/>
        <v>#VALUE!</v>
      </c>
      <c r="H86">
        <f t="shared" si="15"/>
        <v>0</v>
      </c>
      <c r="I86">
        <f t="shared" si="16"/>
        <v>60</v>
      </c>
      <c r="J86" t="str">
        <f t="shared" si="17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8"/>
        <v>0</v>
      </c>
      <c r="P86">
        <f t="shared" si="19"/>
        <v>0</v>
      </c>
      <c r="R86" t="s">
        <v>18</v>
      </c>
      <c r="S86" t="s">
        <v>21</v>
      </c>
      <c r="T86" t="str">
        <f t="shared" ref="T86:T88" si="20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1"/>
        <v>#VALUE!</v>
      </c>
      <c r="C87" t="str">
        <f t="shared" si="12"/>
        <v>No Info</v>
      </c>
      <c r="D87" t="s">
        <v>18</v>
      </c>
      <c r="E87" s="4" t="e">
        <f t="shared" si="13"/>
        <v>#VALUE!</v>
      </c>
      <c r="F87" t="s">
        <v>18</v>
      </c>
      <c r="G87" t="e">
        <f t="shared" si="14"/>
        <v>#VALUE!</v>
      </c>
      <c r="H87">
        <f t="shared" si="15"/>
        <v>0</v>
      </c>
      <c r="I87">
        <f t="shared" si="16"/>
        <v>60</v>
      </c>
      <c r="J87" t="str">
        <f t="shared" si="17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8"/>
        <v>0</v>
      </c>
      <c r="P87">
        <f t="shared" si="19"/>
        <v>0</v>
      </c>
      <c r="R87" t="s">
        <v>18</v>
      </c>
      <c r="S87" t="s">
        <v>18</v>
      </c>
      <c r="T87" t="str">
        <f t="shared" si="20"/>
        <v>The Force Awakens</v>
      </c>
      <c r="U87" t="s">
        <v>248</v>
      </c>
    </row>
    <row r="88" spans="1:21" x14ac:dyDescent="0.3">
      <c r="A88" t="s">
        <v>253</v>
      </c>
      <c r="B88">
        <f t="shared" si="11"/>
        <v>1.65</v>
      </c>
      <c r="C88">
        <f t="shared" si="12"/>
        <v>17</v>
      </c>
      <c r="D88">
        <v>165</v>
      </c>
      <c r="E88" s="4">
        <f t="shared" si="13"/>
        <v>64.5</v>
      </c>
      <c r="F88">
        <v>45</v>
      </c>
      <c r="G88">
        <f t="shared" si="14"/>
        <v>99</v>
      </c>
      <c r="H88">
        <f t="shared" si="15"/>
        <v>16.528925619834713</v>
      </c>
      <c r="I88">
        <f t="shared" si="16"/>
        <v>55</v>
      </c>
      <c r="J88" t="str">
        <f t="shared" si="17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8"/>
        <v>1</v>
      </c>
      <c r="P88">
        <v>16790</v>
      </c>
      <c r="R88" t="s">
        <v>26</v>
      </c>
      <c r="S88" t="s">
        <v>15</v>
      </c>
      <c r="T88" t="str">
        <f t="shared" si="20"/>
        <v>Attack of the Clones</v>
      </c>
      <c r="U88" t="s">
        <v>51</v>
      </c>
    </row>
    <row r="91" spans="1:21" x14ac:dyDescent="0.3">
      <c r="F91" t="s">
        <v>268</v>
      </c>
      <c r="H91">
        <f>AVERAGEIF(H2:H88, "&lt;&gt;0")</f>
        <v>32.048638992833226</v>
      </c>
    </row>
    <row r="92" spans="1:21" x14ac:dyDescent="0.3">
      <c r="F92" t="s">
        <v>276</v>
      </c>
      <c r="H92">
        <f>38*365</f>
        <v>13870</v>
      </c>
    </row>
    <row r="93" spans="1:21" x14ac:dyDescent="0.3">
      <c r="F93" t="s">
        <v>275</v>
      </c>
      <c r="H93" t="str">
        <f>_xlfn.XLOOKUP(H92,P2:P88,A2:A88,"Not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U94"/>
  <sheetViews>
    <sheetView tabSelected="1" topLeftCell="A76" workbookViewId="0">
      <selection activeCell="E89" sqref="E89"/>
    </sheetView>
  </sheetViews>
  <sheetFormatPr defaultRowHeight="15.6" x14ac:dyDescent="0.3"/>
  <cols>
    <col min="1" max="1" width="18.69921875" bestFit="1" customWidth="1"/>
    <col min="2" max="2" width="11.8984375" bestFit="1" customWidth="1"/>
    <col min="3" max="3" width="12.5" bestFit="1" customWidth="1"/>
    <col min="4" max="4" width="11.89843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tr" cm="1">
        <f t="array" ref="A2:U82">_xlfn._xlws.SORT(_xlfn._xlws.FILTER(starwars!A2:U88,ISNUMBER(starwars!D2:D88)),4,1)</f>
        <v>Yoda</v>
      </c>
      <c r="B2">
        <v>0.66</v>
      </c>
      <c r="C2">
        <v>1</v>
      </c>
      <c r="D2">
        <v>66</v>
      </c>
      <c r="E2">
        <v>25.5</v>
      </c>
      <c r="F2">
        <v>17</v>
      </c>
      <c r="G2">
        <v>37.25</v>
      </c>
      <c r="H2">
        <v>39.026629935720841</v>
      </c>
      <c r="I2">
        <v>3</v>
      </c>
      <c r="J2" t="str">
        <v>Heavier</v>
      </c>
      <c r="K2" t="str">
        <v>white</v>
      </c>
      <c r="L2" t="str">
        <v>green</v>
      </c>
      <c r="M2" t="str">
        <v>brown</v>
      </c>
      <c r="N2">
        <v>896</v>
      </c>
      <c r="O2" t="b">
        <v>1</v>
      </c>
      <c r="P2">
        <v>327040</v>
      </c>
      <c r="Q2">
        <v>0</v>
      </c>
      <c r="R2" t="str">
        <v>NA</v>
      </c>
      <c r="S2" t="str">
        <v>Yoda's species</v>
      </c>
      <c r="T2" t="str">
        <v>Attack of the Clones</v>
      </c>
      <c r="U2" t="str">
        <v xml:space="preserve">Attack of the Clones ,  The Phantom Menace ,  Revenge of the Sith ,  Return of the Jedi ,  The Empire Strikes Back </v>
      </c>
    </row>
    <row r="3" spans="1:21" x14ac:dyDescent="0.3">
      <c r="A3" t="str">
        <v>Ratts Tyerell</v>
      </c>
      <c r="B3">
        <v>0.79</v>
      </c>
      <c r="C3">
        <v>2</v>
      </c>
      <c r="D3">
        <v>79</v>
      </c>
      <c r="E3">
        <v>31</v>
      </c>
      <c r="F3">
        <v>15</v>
      </c>
      <c r="G3">
        <v>33</v>
      </c>
      <c r="H3">
        <v>24.034609838166958</v>
      </c>
      <c r="I3">
        <v>32</v>
      </c>
      <c r="J3" t="str">
        <v>Lighter</v>
      </c>
      <c r="K3" t="str">
        <v>none</v>
      </c>
      <c r="L3" t="str">
        <v>grey, blue</v>
      </c>
      <c r="M3" t="str">
        <v>unknown</v>
      </c>
      <c r="N3" t="str">
        <v>NA</v>
      </c>
      <c r="O3" t="b">
        <v>0</v>
      </c>
      <c r="P3">
        <v>0</v>
      </c>
      <c r="Q3">
        <v>0</v>
      </c>
      <c r="R3" t="str">
        <v>Aleen Minor</v>
      </c>
      <c r="S3" t="str">
        <v>Aleena</v>
      </c>
      <c r="T3" t="str">
        <v>The Phantom Menace</v>
      </c>
      <c r="U3" t="str">
        <v>The Phantom Menace</v>
      </c>
    </row>
    <row r="4" spans="1:21" x14ac:dyDescent="0.3">
      <c r="A4" t="str">
        <v>Wicket Systri Warrick</v>
      </c>
      <c r="B4">
        <v>0.88</v>
      </c>
      <c r="C4">
        <v>3</v>
      </c>
      <c r="D4">
        <v>88</v>
      </c>
      <c r="E4">
        <v>34.5</v>
      </c>
      <c r="F4">
        <v>20</v>
      </c>
      <c r="G4">
        <v>44</v>
      </c>
      <c r="H4">
        <v>25.826446280991735</v>
      </c>
      <c r="I4">
        <v>21</v>
      </c>
      <c r="J4" t="str">
        <v>Lighter</v>
      </c>
      <c r="K4" t="str">
        <v>brown</v>
      </c>
      <c r="L4" t="str">
        <v>brown</v>
      </c>
      <c r="M4" t="str">
        <v>brown</v>
      </c>
      <c r="N4">
        <v>8</v>
      </c>
      <c r="O4" t="b">
        <v>1</v>
      </c>
      <c r="P4">
        <v>2920</v>
      </c>
      <c r="Q4">
        <v>0</v>
      </c>
      <c r="R4" t="str">
        <v>Endor</v>
      </c>
      <c r="S4" t="str">
        <v>Ewok</v>
      </c>
      <c r="T4" t="str">
        <v>Return of the Jedi</v>
      </c>
      <c r="U4" t="str">
        <v>Return of the Jedi</v>
      </c>
    </row>
    <row r="5" spans="1:21" x14ac:dyDescent="0.3">
      <c r="A5" t="str">
        <v>Dud Bolt</v>
      </c>
      <c r="B5">
        <v>0.94</v>
      </c>
      <c r="C5">
        <v>4</v>
      </c>
      <c r="D5">
        <v>94</v>
      </c>
      <c r="E5">
        <v>37</v>
      </c>
      <c r="F5">
        <v>45</v>
      </c>
      <c r="G5">
        <v>99</v>
      </c>
      <c r="H5">
        <v>50.928021729289277</v>
      </c>
      <c r="I5">
        <v>2</v>
      </c>
      <c r="J5" t="str">
        <v>Heavier</v>
      </c>
      <c r="K5" t="str">
        <v>none</v>
      </c>
      <c r="L5" t="str">
        <v>blue, grey</v>
      </c>
      <c r="M5" t="str">
        <v>yellow</v>
      </c>
      <c r="N5" t="str">
        <v>NA</v>
      </c>
      <c r="O5" t="b">
        <v>0</v>
      </c>
      <c r="P5">
        <v>0</v>
      </c>
      <c r="Q5">
        <v>0</v>
      </c>
      <c r="R5" t="str">
        <v>Vulpter</v>
      </c>
      <c r="S5" t="str">
        <v>Vulptereen</v>
      </c>
      <c r="T5" t="str">
        <v>The Phantom Menace</v>
      </c>
      <c r="U5" t="str">
        <v>The Phantom Menace</v>
      </c>
    </row>
    <row r="6" spans="1:21" x14ac:dyDescent="0.3">
      <c r="A6" t="str">
        <v>R2-D2</v>
      </c>
      <c r="B6">
        <v>0.96</v>
      </c>
      <c r="C6">
        <v>5</v>
      </c>
      <c r="D6">
        <v>96</v>
      </c>
      <c r="E6">
        <v>37.5</v>
      </c>
      <c r="F6">
        <v>32</v>
      </c>
      <c r="G6">
        <v>70.5</v>
      </c>
      <c r="H6">
        <v>34.722222222222221</v>
      </c>
      <c r="I6">
        <v>6</v>
      </c>
      <c r="J6" t="str">
        <v>Heavier</v>
      </c>
      <c r="K6" t="str">
        <v>NA</v>
      </c>
      <c r="L6" t="str">
        <v>white, blue</v>
      </c>
      <c r="M6" t="str">
        <v>red</v>
      </c>
      <c r="N6">
        <v>33</v>
      </c>
      <c r="O6" t="b">
        <v>1</v>
      </c>
      <c r="P6">
        <v>12045</v>
      </c>
      <c r="Q6">
        <v>0</v>
      </c>
      <c r="R6" t="str">
        <v>Naboo</v>
      </c>
      <c r="S6" t="str">
        <v>Droid</v>
      </c>
      <c r="T6" t="str">
        <v>Attack of the Clones</v>
      </c>
      <c r="U6" t="str">
        <v xml:space="preserve">Attack of the Clones ,  The Phantom Menace ,  Revenge of the Sith ,  Return of the Jedi ,  The Empire Strikes Back ,  A New Hope ,  The Force Awakens </v>
      </c>
    </row>
    <row r="7" spans="1:21" x14ac:dyDescent="0.3">
      <c r="A7" t="str">
        <v>R4-P17</v>
      </c>
      <c r="B7">
        <v>0.96</v>
      </c>
      <c r="C7">
        <v>5</v>
      </c>
      <c r="D7">
        <v>96</v>
      </c>
      <c r="E7">
        <v>37.5</v>
      </c>
      <c r="F7" t="str">
        <v>NA</v>
      </c>
      <c r="G7" t="e">
        <v>#VALUE!</v>
      </c>
      <c r="H7">
        <v>0</v>
      </c>
      <c r="I7">
        <v>60</v>
      </c>
      <c r="J7" t="str">
        <v>Lighter</v>
      </c>
      <c r="K7" t="str">
        <v>none</v>
      </c>
      <c r="L7" t="str">
        <v>silver, red</v>
      </c>
      <c r="M7" t="str">
        <v>red, blue</v>
      </c>
      <c r="N7" t="str">
        <v>NA</v>
      </c>
      <c r="O7" t="b">
        <v>0</v>
      </c>
      <c r="P7">
        <v>0</v>
      </c>
      <c r="Q7">
        <v>0</v>
      </c>
      <c r="R7" t="str">
        <v>NA</v>
      </c>
      <c r="S7" t="str">
        <v>NA</v>
      </c>
      <c r="T7" t="str">
        <v>Attack of the Clones</v>
      </c>
      <c r="U7" t="str">
        <v xml:space="preserve">Attack of the Clones ,  Revenge of the Sith </v>
      </c>
    </row>
    <row r="8" spans="1:21" x14ac:dyDescent="0.3">
      <c r="A8" t="str">
        <v>R5-D4</v>
      </c>
      <c r="B8">
        <v>0.97</v>
      </c>
      <c r="C8">
        <v>7</v>
      </c>
      <c r="D8">
        <v>97</v>
      </c>
      <c r="E8">
        <v>38</v>
      </c>
      <c r="F8">
        <v>32</v>
      </c>
      <c r="G8">
        <v>70.5</v>
      </c>
      <c r="H8">
        <v>34.009990434690195</v>
      </c>
      <c r="I8">
        <v>8</v>
      </c>
      <c r="J8" t="str">
        <v>Heavier</v>
      </c>
      <c r="K8" t="str">
        <v>NA</v>
      </c>
      <c r="L8" t="str">
        <v>white, red</v>
      </c>
      <c r="M8" t="str">
        <v>red</v>
      </c>
      <c r="N8" t="str">
        <v>NA</v>
      </c>
      <c r="O8" t="b">
        <v>0</v>
      </c>
      <c r="P8">
        <v>0</v>
      </c>
      <c r="Q8">
        <v>0</v>
      </c>
      <c r="R8" t="str">
        <v>Tatooine</v>
      </c>
      <c r="S8" t="str">
        <v>Droid</v>
      </c>
      <c r="T8" t="str">
        <v>A New Hope</v>
      </c>
      <c r="U8" t="str">
        <v>A New Hope</v>
      </c>
    </row>
    <row r="9" spans="1:21" x14ac:dyDescent="0.3">
      <c r="A9" t="str">
        <v>Sebulba</v>
      </c>
      <c r="B9">
        <v>1.1200000000000001</v>
      </c>
      <c r="C9">
        <v>8</v>
      </c>
      <c r="D9">
        <v>112</v>
      </c>
      <c r="E9">
        <v>44</v>
      </c>
      <c r="F9">
        <v>40</v>
      </c>
      <c r="G9">
        <v>88</v>
      </c>
      <c r="H9">
        <v>31.887755102040813</v>
      </c>
      <c r="I9">
        <v>11</v>
      </c>
      <c r="J9" t="str">
        <v>Lighter</v>
      </c>
      <c r="K9" t="str">
        <v>none</v>
      </c>
      <c r="L9" t="str">
        <v>grey, red</v>
      </c>
      <c r="M9" t="str">
        <v>orange</v>
      </c>
      <c r="N9" t="str">
        <v>NA</v>
      </c>
      <c r="O9" t="b">
        <v>0</v>
      </c>
      <c r="P9">
        <v>0</v>
      </c>
      <c r="Q9">
        <v>0</v>
      </c>
      <c r="R9" t="str">
        <v>Malastare</v>
      </c>
      <c r="S9" t="str">
        <v>Dug</v>
      </c>
      <c r="T9" t="str">
        <v>The Phantom Menace</v>
      </c>
      <c r="U9" t="str">
        <v>The Phantom Menace</v>
      </c>
    </row>
    <row r="10" spans="1:21" x14ac:dyDescent="0.3">
      <c r="A10" t="str">
        <v>Gasgano</v>
      </c>
      <c r="B10">
        <v>1.22</v>
      </c>
      <c r="C10">
        <v>9</v>
      </c>
      <c r="D10">
        <v>122</v>
      </c>
      <c r="E10">
        <v>48</v>
      </c>
      <c r="F10" t="str">
        <v>NA</v>
      </c>
      <c r="G10" t="e">
        <v>#VALUE!</v>
      </c>
      <c r="H10">
        <v>0</v>
      </c>
      <c r="I10">
        <v>60</v>
      </c>
      <c r="J10" t="str">
        <v>Lighter</v>
      </c>
      <c r="K10" t="str">
        <v>none</v>
      </c>
      <c r="L10" t="str">
        <v>white, blue</v>
      </c>
      <c r="M10" t="str">
        <v>black</v>
      </c>
      <c r="N10" t="str">
        <v>NA</v>
      </c>
      <c r="O10" t="b">
        <v>0</v>
      </c>
      <c r="P10">
        <v>0</v>
      </c>
      <c r="Q10">
        <v>0</v>
      </c>
      <c r="R10" t="str">
        <v>Troiken</v>
      </c>
      <c r="S10" t="str">
        <v>Xexto</v>
      </c>
      <c r="T10" t="str">
        <v>The Phantom Menace</v>
      </c>
      <c r="U10" t="str">
        <v>The Phantom Menace</v>
      </c>
    </row>
    <row r="11" spans="1:21" x14ac:dyDescent="0.3">
      <c r="A11" t="str">
        <v>Watto</v>
      </c>
      <c r="B11">
        <v>1.37</v>
      </c>
      <c r="C11">
        <v>10</v>
      </c>
      <c r="D11">
        <v>137</v>
      </c>
      <c r="E11">
        <v>53.5</v>
      </c>
      <c r="F11" t="str">
        <v>NA</v>
      </c>
      <c r="G11" t="e">
        <v>#VALUE!</v>
      </c>
      <c r="H11">
        <v>0</v>
      </c>
      <c r="I11">
        <v>60</v>
      </c>
      <c r="J11" t="str">
        <v>Lighter</v>
      </c>
      <c r="K11" t="str">
        <v>black</v>
      </c>
      <c r="L11" t="str">
        <v>blue, grey</v>
      </c>
      <c r="M11" t="str">
        <v>yellow</v>
      </c>
      <c r="N11" t="str">
        <v>NA</v>
      </c>
      <c r="O11" t="b">
        <v>0</v>
      </c>
      <c r="P11">
        <v>0</v>
      </c>
      <c r="Q11">
        <v>0</v>
      </c>
      <c r="R11" t="str">
        <v>Toydaria</v>
      </c>
      <c r="S11" t="str">
        <v>Toydarian</v>
      </c>
      <c r="T11" t="str">
        <v>Attack of the Clones</v>
      </c>
      <c r="U11" t="str">
        <v xml:space="preserve"> Attack of the Clones ,  The Phantom Menace </v>
      </c>
    </row>
    <row r="12" spans="1:21" x14ac:dyDescent="0.3">
      <c r="A12" t="str">
        <v>Leia Organa</v>
      </c>
      <c r="B12">
        <v>1.5</v>
      </c>
      <c r="C12">
        <v>11</v>
      </c>
      <c r="D12">
        <v>150</v>
      </c>
      <c r="E12">
        <v>59</v>
      </c>
      <c r="F12">
        <v>49</v>
      </c>
      <c r="G12">
        <v>108</v>
      </c>
      <c r="H12">
        <v>21.777777777777779</v>
      </c>
      <c r="I12">
        <v>43</v>
      </c>
      <c r="J12" t="str">
        <v>Lighter</v>
      </c>
      <c r="K12" t="str">
        <v>brown</v>
      </c>
      <c r="L12" t="str">
        <v>light</v>
      </c>
      <c r="M12" t="str">
        <v>brown</v>
      </c>
      <c r="N12">
        <v>19</v>
      </c>
      <c r="O12" t="b">
        <v>1</v>
      </c>
      <c r="P12">
        <v>6935</v>
      </c>
      <c r="Q12">
        <v>0</v>
      </c>
      <c r="R12" t="str">
        <v>Alderaan</v>
      </c>
      <c r="S12" t="str">
        <v>Human</v>
      </c>
      <c r="T12" t="str">
        <v>Revenge of the Sith</v>
      </c>
      <c r="U12" t="str">
        <v xml:space="preserve">Revenge of the Sith ,  Return of the Jedi ,  The Empire Strikes Back ,  A New Hope ,  The Force Awakens </v>
      </c>
    </row>
    <row r="13" spans="1:21" x14ac:dyDescent="0.3">
      <c r="A13" t="str">
        <v>Mon Mothma</v>
      </c>
      <c r="B13">
        <v>1.5</v>
      </c>
      <c r="C13">
        <v>11</v>
      </c>
      <c r="D13">
        <v>150</v>
      </c>
      <c r="E13">
        <v>59</v>
      </c>
      <c r="F13" t="str">
        <v>NA</v>
      </c>
      <c r="G13" t="e">
        <v>#VALUE!</v>
      </c>
      <c r="H13">
        <v>0</v>
      </c>
      <c r="I13">
        <v>60</v>
      </c>
      <c r="J13" t="str">
        <v>Lighter</v>
      </c>
      <c r="K13" t="str">
        <v>auburn</v>
      </c>
      <c r="L13" t="str">
        <v>fair</v>
      </c>
      <c r="M13" t="str">
        <v>blue</v>
      </c>
      <c r="N13">
        <v>48</v>
      </c>
      <c r="O13" t="b">
        <v>1</v>
      </c>
      <c r="P13">
        <v>17520</v>
      </c>
      <c r="Q13">
        <v>0</v>
      </c>
      <c r="R13" t="str">
        <v>Chandrila</v>
      </c>
      <c r="S13" t="str">
        <v>Human</v>
      </c>
      <c r="T13" t="str">
        <v>Return of the Jedi</v>
      </c>
      <c r="U13" t="str">
        <v>Return of the Jedi</v>
      </c>
    </row>
    <row r="14" spans="1:21" x14ac:dyDescent="0.3">
      <c r="A14" t="str">
        <v>Cordé</v>
      </c>
      <c r="B14">
        <v>1.57</v>
      </c>
      <c r="C14">
        <v>13</v>
      </c>
      <c r="D14">
        <v>157</v>
      </c>
      <c r="E14">
        <v>61.5</v>
      </c>
      <c r="F14" t="str">
        <v>NA</v>
      </c>
      <c r="G14" t="e">
        <v>#VALUE!</v>
      </c>
      <c r="H14">
        <v>0</v>
      </c>
      <c r="I14">
        <v>60</v>
      </c>
      <c r="J14" t="str">
        <v>Lighter</v>
      </c>
      <c r="K14" t="str">
        <v>brown</v>
      </c>
      <c r="L14" t="str">
        <v>light</v>
      </c>
      <c r="M14" t="str">
        <v>brown</v>
      </c>
      <c r="N14" t="str">
        <v>NA</v>
      </c>
      <c r="O14" t="b">
        <v>0</v>
      </c>
      <c r="P14">
        <v>0</v>
      </c>
      <c r="Q14">
        <v>0</v>
      </c>
      <c r="R14" t="str">
        <v>Naboo</v>
      </c>
      <c r="S14" t="str">
        <v>Human</v>
      </c>
      <c r="T14" t="str">
        <v>Attack of the Clones</v>
      </c>
      <c r="U14" t="str">
        <v>Attack of the Clones</v>
      </c>
    </row>
    <row r="15" spans="1:21" x14ac:dyDescent="0.3">
      <c r="A15" t="str">
        <v>Nien Nunb</v>
      </c>
      <c r="B15">
        <v>1.6</v>
      </c>
      <c r="C15">
        <v>14</v>
      </c>
      <c r="D15">
        <v>160</v>
      </c>
      <c r="E15">
        <v>62.5</v>
      </c>
      <c r="F15">
        <v>68</v>
      </c>
      <c r="G15">
        <v>149.75</v>
      </c>
      <c r="H15">
        <v>26.562499999999996</v>
      </c>
      <c r="I15">
        <v>16</v>
      </c>
      <c r="J15" t="str">
        <v>Lighter</v>
      </c>
      <c r="K15" t="str">
        <v>none</v>
      </c>
      <c r="L15" t="str">
        <v>grey</v>
      </c>
      <c r="M15" t="str">
        <v>black</v>
      </c>
      <c r="N15" t="str">
        <v>NA</v>
      </c>
      <c r="O15" t="b">
        <v>0</v>
      </c>
      <c r="P15">
        <v>0</v>
      </c>
      <c r="Q15">
        <v>0</v>
      </c>
      <c r="R15" t="str">
        <v>Sullust</v>
      </c>
      <c r="S15" t="str">
        <v>Sullustan</v>
      </c>
      <c r="T15" t="str">
        <v>Return of the Jedi</v>
      </c>
      <c r="U15" t="str">
        <v>Return of the Jedi</v>
      </c>
    </row>
    <row r="16" spans="1:21" x14ac:dyDescent="0.3">
      <c r="A16" t="str">
        <v>Shmi Skywalker</v>
      </c>
      <c r="B16">
        <v>1.63</v>
      </c>
      <c r="C16">
        <v>15</v>
      </c>
      <c r="D16">
        <v>163</v>
      </c>
      <c r="E16">
        <v>64</v>
      </c>
      <c r="F16" t="str">
        <v>NA</v>
      </c>
      <c r="G16" t="e">
        <v>#VALUE!</v>
      </c>
      <c r="H16">
        <v>0</v>
      </c>
      <c r="I16">
        <v>60</v>
      </c>
      <c r="J16" t="str">
        <v>Lighter</v>
      </c>
      <c r="K16" t="str">
        <v>black</v>
      </c>
      <c r="L16" t="str">
        <v>fair</v>
      </c>
      <c r="M16" t="str">
        <v>brown</v>
      </c>
      <c r="N16">
        <v>72</v>
      </c>
      <c r="O16" t="b">
        <v>1</v>
      </c>
      <c r="P16">
        <v>26280</v>
      </c>
      <c r="Q16">
        <v>0</v>
      </c>
      <c r="R16" t="str">
        <v>Tatooine</v>
      </c>
      <c r="S16" t="str">
        <v>Human</v>
      </c>
      <c r="T16" t="str">
        <v>Attack of the Clones</v>
      </c>
      <c r="U16" t="str">
        <v xml:space="preserve"> Attack of the Clones ,  The Phantom Menace </v>
      </c>
    </row>
    <row r="17" spans="1:21" x14ac:dyDescent="0.3">
      <c r="A17" t="str">
        <v>Ben Quadinaros</v>
      </c>
      <c r="B17">
        <v>1.63</v>
      </c>
      <c r="C17">
        <v>15</v>
      </c>
      <c r="D17">
        <v>163</v>
      </c>
      <c r="E17">
        <v>64</v>
      </c>
      <c r="F17">
        <v>65</v>
      </c>
      <c r="G17">
        <v>143.25</v>
      </c>
      <c r="H17">
        <v>24.464601603372351</v>
      </c>
      <c r="I17">
        <v>31</v>
      </c>
      <c r="J17" t="str">
        <v>Lighter</v>
      </c>
      <c r="K17" t="str">
        <v>none</v>
      </c>
      <c r="L17" t="str">
        <v>grey, green, yellow</v>
      </c>
      <c r="M17" t="str">
        <v>orange</v>
      </c>
      <c r="N17" t="str">
        <v>NA</v>
      </c>
      <c r="O17" t="b">
        <v>0</v>
      </c>
      <c r="P17">
        <v>0</v>
      </c>
      <c r="Q17">
        <v>0</v>
      </c>
      <c r="R17" t="str">
        <v>Tund</v>
      </c>
      <c r="S17" t="str">
        <v>Toong</v>
      </c>
      <c r="T17" t="str">
        <v>The Phantom Menace</v>
      </c>
      <c r="U17" t="str">
        <v>The Phantom Menace</v>
      </c>
    </row>
    <row r="18" spans="1:21" x14ac:dyDescent="0.3">
      <c r="A18" t="str">
        <v>Beru Whitesun lars</v>
      </c>
      <c r="B18">
        <v>1.65</v>
      </c>
      <c r="C18">
        <v>17</v>
      </c>
      <c r="D18">
        <v>165</v>
      </c>
      <c r="E18">
        <v>64.5</v>
      </c>
      <c r="F18">
        <v>75</v>
      </c>
      <c r="G18">
        <v>165.25</v>
      </c>
      <c r="H18">
        <v>27.548209366391188</v>
      </c>
      <c r="I18">
        <v>13</v>
      </c>
      <c r="J18" t="str">
        <v>Lighter</v>
      </c>
      <c r="K18" t="str">
        <v>brown</v>
      </c>
      <c r="L18" t="str">
        <v>light</v>
      </c>
      <c r="M18" t="str">
        <v>blue</v>
      </c>
      <c r="N18">
        <v>47</v>
      </c>
      <c r="O18" t="b">
        <v>1</v>
      </c>
      <c r="P18">
        <v>17155</v>
      </c>
      <c r="Q18">
        <v>0</v>
      </c>
      <c r="R18" t="str">
        <v>Tatooine</v>
      </c>
      <c r="S18" t="str">
        <v>Human</v>
      </c>
      <c r="T18" t="str">
        <v>Attack of the Clones</v>
      </c>
      <c r="U18" t="str">
        <v xml:space="preserve">Attack of the Clones ,  Revenge of the Sith ,  A New Hope </v>
      </c>
    </row>
    <row r="19" spans="1:21" x14ac:dyDescent="0.3">
      <c r="A19" t="str">
        <v>Dormé</v>
      </c>
      <c r="B19">
        <v>1.65</v>
      </c>
      <c r="C19">
        <v>17</v>
      </c>
      <c r="D19">
        <v>165</v>
      </c>
      <c r="E19">
        <v>64.5</v>
      </c>
      <c r="F19" t="str">
        <v>NA</v>
      </c>
      <c r="G19" t="e">
        <v>#VALUE!</v>
      </c>
      <c r="H19">
        <v>0</v>
      </c>
      <c r="I19">
        <v>60</v>
      </c>
      <c r="J19" t="str">
        <v>Lighter</v>
      </c>
      <c r="K19" t="str">
        <v>brown</v>
      </c>
      <c r="L19" t="str">
        <v>light</v>
      </c>
      <c r="M19" t="str">
        <v>brown</v>
      </c>
      <c r="N19" t="str">
        <v>NA</v>
      </c>
      <c r="O19" t="b">
        <v>0</v>
      </c>
      <c r="P19">
        <v>0</v>
      </c>
      <c r="Q19">
        <v>0</v>
      </c>
      <c r="R19" t="str">
        <v>Naboo</v>
      </c>
      <c r="S19" t="str">
        <v>Human</v>
      </c>
      <c r="T19" t="str">
        <v>Attack of the Clones</v>
      </c>
      <c r="U19" t="str">
        <v>Attack of the Clones</v>
      </c>
    </row>
    <row r="20" spans="1:21" x14ac:dyDescent="0.3">
      <c r="A20" t="str">
        <v>Padmé Amidala</v>
      </c>
      <c r="B20">
        <v>1.65</v>
      </c>
      <c r="C20">
        <v>17</v>
      </c>
      <c r="D20">
        <v>165</v>
      </c>
      <c r="E20">
        <v>64.5</v>
      </c>
      <c r="F20">
        <v>45</v>
      </c>
      <c r="G20">
        <v>99</v>
      </c>
      <c r="H20">
        <v>16.528925619834713</v>
      </c>
      <c r="I20">
        <v>55</v>
      </c>
      <c r="J20" t="str">
        <v>Lighter</v>
      </c>
      <c r="K20" t="str">
        <v>brown</v>
      </c>
      <c r="L20" t="str">
        <v>light</v>
      </c>
      <c r="M20" t="str">
        <v>brown</v>
      </c>
      <c r="N20">
        <v>46</v>
      </c>
      <c r="O20" t="b">
        <v>1</v>
      </c>
      <c r="P20">
        <v>16790</v>
      </c>
      <c r="Q20">
        <v>0</v>
      </c>
      <c r="R20" t="str">
        <v>Naboo</v>
      </c>
      <c r="S20" t="str">
        <v>Human</v>
      </c>
      <c r="T20" t="str">
        <v>Attack of the Clones</v>
      </c>
      <c r="U20" t="str">
        <v xml:space="preserve">Attack of the Clones ,  The Phantom Menace ,  Revenge of the Sith </v>
      </c>
    </row>
    <row r="21" spans="1:21" x14ac:dyDescent="0.3">
      <c r="A21" t="str">
        <v>Barriss Offee</v>
      </c>
      <c r="B21">
        <v>1.66</v>
      </c>
      <c r="C21">
        <v>20</v>
      </c>
      <c r="D21">
        <v>166</v>
      </c>
      <c r="E21">
        <v>65</v>
      </c>
      <c r="F21">
        <v>50</v>
      </c>
      <c r="G21">
        <v>110</v>
      </c>
      <c r="H21">
        <v>18.144868631151112</v>
      </c>
      <c r="I21">
        <v>50</v>
      </c>
      <c r="J21" t="str">
        <v>Lighter</v>
      </c>
      <c r="K21" t="str">
        <v>black</v>
      </c>
      <c r="L21" t="str">
        <v>yellow</v>
      </c>
      <c r="M21" t="str">
        <v>blue</v>
      </c>
      <c r="N21">
        <v>40</v>
      </c>
      <c r="O21" t="b">
        <v>1</v>
      </c>
      <c r="P21">
        <v>14600</v>
      </c>
      <c r="Q21">
        <v>0</v>
      </c>
      <c r="R21" t="str">
        <v>Mirial</v>
      </c>
      <c r="S21" t="str">
        <v>Mirialan</v>
      </c>
      <c r="T21" t="str">
        <v>Attack of the Clones</v>
      </c>
      <c r="U21" t="str">
        <v>Attack of the Clones</v>
      </c>
    </row>
    <row r="22" spans="1:21" x14ac:dyDescent="0.3">
      <c r="A22" t="str">
        <v>C-3PO</v>
      </c>
      <c r="B22">
        <v>1.67</v>
      </c>
      <c r="C22">
        <v>21</v>
      </c>
      <c r="D22">
        <v>167</v>
      </c>
      <c r="E22">
        <v>65.5</v>
      </c>
      <c r="F22">
        <v>75</v>
      </c>
      <c r="G22">
        <v>165.25</v>
      </c>
      <c r="H22">
        <v>26.892323138154829</v>
      </c>
      <c r="I22">
        <v>14</v>
      </c>
      <c r="J22" t="str">
        <v>Lighter</v>
      </c>
      <c r="K22" t="str">
        <v>NA</v>
      </c>
      <c r="L22" t="str">
        <v>gold</v>
      </c>
      <c r="M22" t="str">
        <v>yellow</v>
      </c>
      <c r="N22">
        <v>112</v>
      </c>
      <c r="O22" t="b">
        <v>1</v>
      </c>
      <c r="P22">
        <v>40880</v>
      </c>
      <c r="Q22">
        <v>0</v>
      </c>
      <c r="R22" t="str">
        <v>Tatooine</v>
      </c>
      <c r="S22" t="str">
        <v>Droid</v>
      </c>
      <c r="T22" t="str">
        <v>Attack of the Clones</v>
      </c>
      <c r="U22" t="str">
        <v xml:space="preserve">Attack of the Clones ,  The Phantom Menace ,  Revenge of the Sith ,  Return of the Jedi ,  The Empire Strikes Back ,  A New Hope </v>
      </c>
    </row>
    <row r="23" spans="1:21" x14ac:dyDescent="0.3">
      <c r="A23" t="str">
        <v>Jocasta Nu</v>
      </c>
      <c r="B23">
        <v>1.67</v>
      </c>
      <c r="C23">
        <v>21</v>
      </c>
      <c r="D23">
        <v>167</v>
      </c>
      <c r="E23">
        <v>65.5</v>
      </c>
      <c r="F23" t="str">
        <v>NA</v>
      </c>
      <c r="G23" t="e">
        <v>#VALUE!</v>
      </c>
      <c r="H23">
        <v>0</v>
      </c>
      <c r="I23">
        <v>60</v>
      </c>
      <c r="J23" t="str">
        <v>Lighter</v>
      </c>
      <c r="K23" t="str">
        <v>white</v>
      </c>
      <c r="L23" t="str">
        <v>fair</v>
      </c>
      <c r="M23" t="str">
        <v>blue</v>
      </c>
      <c r="N23" t="str">
        <v>NA</v>
      </c>
      <c r="O23" t="b">
        <v>0</v>
      </c>
      <c r="P23">
        <v>0</v>
      </c>
      <c r="Q23">
        <v>0</v>
      </c>
      <c r="R23" t="str">
        <v>Coruscant</v>
      </c>
      <c r="S23" t="str">
        <v>Human</v>
      </c>
      <c r="T23" t="str">
        <v>Attack of the Clones</v>
      </c>
      <c r="U23" t="str">
        <v>Attack of the Clones</v>
      </c>
    </row>
    <row r="24" spans="1:21" x14ac:dyDescent="0.3">
      <c r="A24" t="str">
        <v>Zam Wesell</v>
      </c>
      <c r="B24">
        <v>1.68</v>
      </c>
      <c r="C24">
        <v>23</v>
      </c>
      <c r="D24">
        <v>168</v>
      </c>
      <c r="E24">
        <v>66</v>
      </c>
      <c r="F24">
        <v>55</v>
      </c>
      <c r="G24">
        <v>121.25</v>
      </c>
      <c r="H24">
        <v>19.486961451247168</v>
      </c>
      <c r="I24">
        <v>47</v>
      </c>
      <c r="J24" t="str">
        <v>Lighter</v>
      </c>
      <c r="K24" t="str">
        <v>blonde</v>
      </c>
      <c r="L24" t="str">
        <v>fair, green, yellow</v>
      </c>
      <c r="M24" t="str">
        <v>yellow</v>
      </c>
      <c r="N24" t="str">
        <v>NA</v>
      </c>
      <c r="O24" t="b">
        <v>0</v>
      </c>
      <c r="P24">
        <v>0</v>
      </c>
      <c r="Q24">
        <v>0</v>
      </c>
      <c r="R24" t="str">
        <v>Zolan</v>
      </c>
      <c r="S24" t="str">
        <v>Clawdite</v>
      </c>
      <c r="T24" t="str">
        <v>Attack of the Clones</v>
      </c>
      <c r="U24" t="str">
        <v>Attack of the Clones</v>
      </c>
    </row>
    <row r="25" spans="1:21" x14ac:dyDescent="0.3">
      <c r="A25" t="str">
        <v>Wedge Antilles</v>
      </c>
      <c r="B25">
        <v>1.7</v>
      </c>
      <c r="C25">
        <v>24</v>
      </c>
      <c r="D25">
        <v>170</v>
      </c>
      <c r="E25">
        <v>66.5</v>
      </c>
      <c r="F25">
        <v>77</v>
      </c>
      <c r="G25">
        <v>169.75</v>
      </c>
      <c r="H25">
        <v>26.643598615916957</v>
      </c>
      <c r="I25">
        <v>15</v>
      </c>
      <c r="J25" t="str">
        <v>Lighter</v>
      </c>
      <c r="K25" t="str">
        <v>brown</v>
      </c>
      <c r="L25" t="str">
        <v>fair</v>
      </c>
      <c r="M25" t="str">
        <v>hazel</v>
      </c>
      <c r="N25">
        <v>21</v>
      </c>
      <c r="O25" t="b">
        <v>1</v>
      </c>
      <c r="P25">
        <v>7665</v>
      </c>
      <c r="Q25">
        <v>0</v>
      </c>
      <c r="R25" t="str">
        <v>Corellia</v>
      </c>
      <c r="S25" t="str">
        <v>Human</v>
      </c>
      <c r="T25" t="str">
        <v>Return of the Jedi</v>
      </c>
      <c r="U25" t="str">
        <v xml:space="preserve">Return of the Jedi ,  The Empire Strikes Back ,  A New Hope </v>
      </c>
    </row>
    <row r="26" spans="1:21" x14ac:dyDescent="0.3">
      <c r="A26" t="str">
        <v>Palpatine</v>
      </c>
      <c r="B26">
        <v>1.7</v>
      </c>
      <c r="C26">
        <v>24</v>
      </c>
      <c r="D26">
        <v>170</v>
      </c>
      <c r="E26">
        <v>66.5</v>
      </c>
      <c r="F26">
        <v>75</v>
      </c>
      <c r="G26">
        <v>165.25</v>
      </c>
      <c r="H26">
        <v>25.95155709342561</v>
      </c>
      <c r="I26">
        <v>20</v>
      </c>
      <c r="J26" t="str">
        <v>Lighter</v>
      </c>
      <c r="K26" t="str">
        <v>grey</v>
      </c>
      <c r="L26" t="str">
        <v>pale</v>
      </c>
      <c r="M26" t="str">
        <v>yellow</v>
      </c>
      <c r="N26">
        <v>82</v>
      </c>
      <c r="O26" t="b">
        <v>1</v>
      </c>
      <c r="P26">
        <v>29930</v>
      </c>
      <c r="Q26">
        <v>0</v>
      </c>
      <c r="R26" t="str">
        <v>Naboo</v>
      </c>
      <c r="S26" t="str">
        <v>Human</v>
      </c>
      <c r="T26" t="str">
        <v>Attack of the Clones</v>
      </c>
      <c r="U26" t="str">
        <v xml:space="preserve"> Attack of the Clones ,  The Phantom Menace ,  Revenge of the Sith ,  Return of the Jedi ,  The Empire Strikes Back </v>
      </c>
    </row>
    <row r="27" spans="1:21" x14ac:dyDescent="0.3">
      <c r="A27" t="str">
        <v>Finis Valorum</v>
      </c>
      <c r="B27">
        <v>1.7</v>
      </c>
      <c r="C27">
        <v>24</v>
      </c>
      <c r="D27">
        <v>170</v>
      </c>
      <c r="E27">
        <v>66.5</v>
      </c>
      <c r="F27" t="str">
        <v>NA</v>
      </c>
      <c r="G27" t="e">
        <v>#VALUE!</v>
      </c>
      <c r="H27">
        <v>0</v>
      </c>
      <c r="I27">
        <v>60</v>
      </c>
      <c r="J27" t="str">
        <v>Lighter</v>
      </c>
      <c r="K27" t="str">
        <v>blond</v>
      </c>
      <c r="L27" t="str">
        <v>fair</v>
      </c>
      <c r="M27" t="str">
        <v>blue</v>
      </c>
      <c r="N27">
        <v>91</v>
      </c>
      <c r="O27" t="b">
        <v>1</v>
      </c>
      <c r="P27">
        <v>33215</v>
      </c>
      <c r="Q27">
        <v>0</v>
      </c>
      <c r="R27" t="str">
        <v>Coruscant</v>
      </c>
      <c r="S27" t="str">
        <v>Human</v>
      </c>
      <c r="T27" t="str">
        <v>The Phantom Menace</v>
      </c>
      <c r="U27" t="str">
        <v>The Phantom Menace</v>
      </c>
    </row>
    <row r="28" spans="1:21" x14ac:dyDescent="0.3">
      <c r="A28" t="str">
        <v>Luminara Unduli</v>
      </c>
      <c r="B28">
        <v>1.7</v>
      </c>
      <c r="C28">
        <v>24</v>
      </c>
      <c r="D28">
        <v>170</v>
      </c>
      <c r="E28">
        <v>66.5</v>
      </c>
      <c r="F28">
        <v>56.2</v>
      </c>
      <c r="G28">
        <v>123.75</v>
      </c>
      <c r="H28">
        <v>19.446366782006923</v>
      </c>
      <c r="I28">
        <v>48</v>
      </c>
      <c r="J28" t="str">
        <v>Lighter</v>
      </c>
      <c r="K28" t="str">
        <v>black</v>
      </c>
      <c r="L28" t="str">
        <v>yellow</v>
      </c>
      <c r="M28" t="str">
        <v>blue</v>
      </c>
      <c r="N28">
        <v>58</v>
      </c>
      <c r="O28" t="b">
        <v>1</v>
      </c>
      <c r="P28">
        <v>21170</v>
      </c>
      <c r="Q28">
        <v>0</v>
      </c>
      <c r="R28" t="str">
        <v>Mirial</v>
      </c>
      <c r="S28" t="str">
        <v>Mirialan</v>
      </c>
      <c r="T28" t="str">
        <v>Attack of the Clones</v>
      </c>
      <c r="U28" t="str">
        <v xml:space="preserve">Attack of the Clones ,  Revenge of the Sith </v>
      </c>
    </row>
    <row r="29" spans="1:21" x14ac:dyDescent="0.3">
      <c r="A29" t="str">
        <v>Eeth Koth</v>
      </c>
      <c r="B29">
        <v>1.71</v>
      </c>
      <c r="C29">
        <v>28</v>
      </c>
      <c r="D29">
        <v>171</v>
      </c>
      <c r="E29">
        <v>67</v>
      </c>
      <c r="F29" t="str">
        <v>NA</v>
      </c>
      <c r="G29" t="e">
        <v>#VALUE!</v>
      </c>
      <c r="H29">
        <v>0</v>
      </c>
      <c r="I29">
        <v>60</v>
      </c>
      <c r="J29" t="str">
        <v>Lighter</v>
      </c>
      <c r="K29" t="str">
        <v>black</v>
      </c>
      <c r="L29" t="str">
        <v>brown</v>
      </c>
      <c r="M29" t="str">
        <v>brown</v>
      </c>
      <c r="N29" t="str">
        <v>NA</v>
      </c>
      <c r="O29" t="b">
        <v>0</v>
      </c>
      <c r="P29">
        <v>0</v>
      </c>
      <c r="Q29">
        <v>0</v>
      </c>
      <c r="R29" t="str">
        <v>Iridonia</v>
      </c>
      <c r="S29" t="str">
        <v>Zabrak</v>
      </c>
      <c r="T29" t="str">
        <v>The Phantom Menace</v>
      </c>
      <c r="U29" t="str">
        <v xml:space="preserve">The Phantom Menace ,  Revenge of the Sith </v>
      </c>
    </row>
    <row r="30" spans="1:21" x14ac:dyDescent="0.3">
      <c r="A30" t="str">
        <v>Luke Skywalker</v>
      </c>
      <c r="B30">
        <v>1.72</v>
      </c>
      <c r="C30">
        <v>29</v>
      </c>
      <c r="D30">
        <v>172</v>
      </c>
      <c r="E30">
        <v>67.5</v>
      </c>
      <c r="F30">
        <v>77</v>
      </c>
      <c r="G30">
        <v>169.75</v>
      </c>
      <c r="H30">
        <v>26.027582477014604</v>
      </c>
      <c r="I30">
        <v>18</v>
      </c>
      <c r="J30" t="str">
        <v>Lighter</v>
      </c>
      <c r="K30" t="str">
        <v>blond</v>
      </c>
      <c r="L30" t="str">
        <v>fair</v>
      </c>
      <c r="M30" t="str">
        <v>blue</v>
      </c>
      <c r="N30">
        <v>19</v>
      </c>
      <c r="O30" t="b">
        <v>1</v>
      </c>
      <c r="P30">
        <v>6935</v>
      </c>
      <c r="Q30">
        <v>0</v>
      </c>
      <c r="R30" t="str">
        <v>Tatooine</v>
      </c>
      <c r="S30" t="str">
        <v>Human</v>
      </c>
      <c r="T30" t="str">
        <v>Revenge of the Sith</v>
      </c>
      <c r="U30" t="str">
        <v xml:space="preserve">Revenge of the Sith ,  Return of the Jedi ,  The Empire Strikes Back ,  A New Hope ,  The Force Awakens  </v>
      </c>
    </row>
    <row r="31" spans="1:21" x14ac:dyDescent="0.3">
      <c r="A31" t="str">
        <v>Greedo</v>
      </c>
      <c r="B31">
        <v>1.73</v>
      </c>
      <c r="C31">
        <v>30</v>
      </c>
      <c r="D31">
        <v>173</v>
      </c>
      <c r="E31">
        <v>68</v>
      </c>
      <c r="F31">
        <v>74</v>
      </c>
      <c r="G31">
        <v>163</v>
      </c>
      <c r="H31">
        <v>24.725182932941294</v>
      </c>
      <c r="I31">
        <v>28</v>
      </c>
      <c r="J31" t="str">
        <v>Lighter</v>
      </c>
      <c r="K31" t="str">
        <v>NA</v>
      </c>
      <c r="L31" t="str">
        <v>green</v>
      </c>
      <c r="M31" t="str">
        <v>black</v>
      </c>
      <c r="N31">
        <v>44</v>
      </c>
      <c r="O31" t="b">
        <v>1</v>
      </c>
      <c r="P31">
        <v>16060</v>
      </c>
      <c r="Q31">
        <v>0</v>
      </c>
      <c r="R31" t="str">
        <v>Rodia</v>
      </c>
      <c r="S31" t="str">
        <v>Rodian</v>
      </c>
      <c r="T31" t="str">
        <v>A New Hope</v>
      </c>
      <c r="U31" t="str">
        <v>A New Hope</v>
      </c>
    </row>
    <row r="32" spans="1:21" x14ac:dyDescent="0.3">
      <c r="A32" t="str">
        <v>Jabba Desilijic Tiure</v>
      </c>
      <c r="B32">
        <v>1.75</v>
      </c>
      <c r="C32">
        <v>31</v>
      </c>
      <c r="D32">
        <v>175</v>
      </c>
      <c r="E32">
        <v>68.5</v>
      </c>
      <c r="F32">
        <v>1358</v>
      </c>
      <c r="G32">
        <v>2993.75</v>
      </c>
      <c r="H32">
        <v>443.42857142857144</v>
      </c>
      <c r="I32">
        <v>1</v>
      </c>
      <c r="J32" t="str">
        <v>Heavier</v>
      </c>
      <c r="K32" t="str">
        <v>NA</v>
      </c>
      <c r="L32" t="str">
        <v>green-tan, brown</v>
      </c>
      <c r="M32" t="str">
        <v>orange</v>
      </c>
      <c r="N32">
        <v>600</v>
      </c>
      <c r="O32" t="b">
        <v>1</v>
      </c>
      <c r="P32">
        <v>219000</v>
      </c>
      <c r="Q32">
        <v>0</v>
      </c>
      <c r="R32" t="str">
        <v>Nal Hutta</v>
      </c>
      <c r="S32" t="str">
        <v>Hutt</v>
      </c>
      <c r="T32" t="str">
        <v>The Phantom Menace</v>
      </c>
      <c r="U32" t="str">
        <v xml:space="preserve">The Phantom Menace ,  Return of the Jedi ,  A New Hope </v>
      </c>
    </row>
    <row r="33" spans="1:21" x14ac:dyDescent="0.3">
      <c r="A33" t="str">
        <v>Lobot</v>
      </c>
      <c r="B33">
        <v>1.75</v>
      </c>
      <c r="C33">
        <v>31</v>
      </c>
      <c r="D33">
        <v>175</v>
      </c>
      <c r="E33">
        <v>68.5</v>
      </c>
      <c r="F33">
        <v>79</v>
      </c>
      <c r="G33">
        <v>174</v>
      </c>
      <c r="H33">
        <v>25.795918367346939</v>
      </c>
      <c r="I33">
        <v>22</v>
      </c>
      <c r="J33" t="str">
        <v>Lighter</v>
      </c>
      <c r="K33" t="str">
        <v>none</v>
      </c>
      <c r="L33" t="str">
        <v>light</v>
      </c>
      <c r="M33" t="str">
        <v>blue</v>
      </c>
      <c r="N33">
        <v>37</v>
      </c>
      <c r="O33" t="b">
        <v>1</v>
      </c>
      <c r="P33">
        <v>13505</v>
      </c>
      <c r="Q33">
        <v>0</v>
      </c>
      <c r="R33" t="str">
        <v>Bespin</v>
      </c>
      <c r="S33" t="str">
        <v>Human</v>
      </c>
      <c r="T33" t="str">
        <v>The Empire Strikes Back</v>
      </c>
      <c r="U33" t="str">
        <v>The Empire Strikes Back</v>
      </c>
    </row>
    <row r="34" spans="1:21" x14ac:dyDescent="0.3">
      <c r="A34" t="str">
        <v>Darth Maul</v>
      </c>
      <c r="B34">
        <v>1.75</v>
      </c>
      <c r="C34">
        <v>31</v>
      </c>
      <c r="D34">
        <v>175</v>
      </c>
      <c r="E34">
        <v>68.5</v>
      </c>
      <c r="F34">
        <v>80</v>
      </c>
      <c r="G34">
        <v>176.25</v>
      </c>
      <c r="H34">
        <v>26.122448979591837</v>
      </c>
      <c r="I34">
        <v>17</v>
      </c>
      <c r="J34" t="str">
        <v>Lighter</v>
      </c>
      <c r="K34" t="str">
        <v>none</v>
      </c>
      <c r="L34" t="str">
        <v>red</v>
      </c>
      <c r="M34" t="str">
        <v>yellow</v>
      </c>
      <c r="N34">
        <v>54</v>
      </c>
      <c r="O34" t="b">
        <v>1</v>
      </c>
      <c r="P34">
        <v>19710</v>
      </c>
      <c r="Q34">
        <v>0</v>
      </c>
      <c r="R34" t="str">
        <v>Dathomir</v>
      </c>
      <c r="S34" t="str">
        <v>Zabrak</v>
      </c>
      <c r="T34" t="str">
        <v>The Phantom Menace</v>
      </c>
      <c r="U34" t="str">
        <v>The Phantom Menace</v>
      </c>
    </row>
    <row r="35" spans="1:21" x14ac:dyDescent="0.3">
      <c r="A35" t="str">
        <v>Lando Calrissian</v>
      </c>
      <c r="B35">
        <v>1.77</v>
      </c>
      <c r="C35">
        <v>34</v>
      </c>
      <c r="D35">
        <v>177</v>
      </c>
      <c r="E35">
        <v>69.5</v>
      </c>
      <c r="F35">
        <v>79</v>
      </c>
      <c r="G35">
        <v>174</v>
      </c>
      <c r="H35">
        <v>25.216253311628201</v>
      </c>
      <c r="I35">
        <v>24</v>
      </c>
      <c r="J35" t="str">
        <v>Lighter</v>
      </c>
      <c r="K35" t="str">
        <v>black</v>
      </c>
      <c r="L35" t="str">
        <v>dark</v>
      </c>
      <c r="M35" t="str">
        <v>brown</v>
      </c>
      <c r="N35">
        <v>31</v>
      </c>
      <c r="O35" t="b">
        <v>1</v>
      </c>
      <c r="P35">
        <v>11315</v>
      </c>
      <c r="Q35">
        <v>0</v>
      </c>
      <c r="R35" t="str">
        <v>Socorro</v>
      </c>
      <c r="S35" t="str">
        <v>Human</v>
      </c>
      <c r="T35" t="str">
        <v>Return of the Jedi</v>
      </c>
      <c r="U35" t="str">
        <v xml:space="preserve">Return of the Jedi ,  The Empire Strikes Back </v>
      </c>
    </row>
    <row r="36" spans="1:21" x14ac:dyDescent="0.3">
      <c r="A36" t="str">
        <v>Owen Lars</v>
      </c>
      <c r="B36">
        <v>1.78</v>
      </c>
      <c r="C36">
        <v>35</v>
      </c>
      <c r="D36">
        <v>178</v>
      </c>
      <c r="E36">
        <v>70</v>
      </c>
      <c r="F36">
        <v>120</v>
      </c>
      <c r="G36">
        <v>264.5</v>
      </c>
      <c r="H36">
        <v>37.874005807347558</v>
      </c>
      <c r="I36">
        <v>4</v>
      </c>
      <c r="J36" t="str">
        <v>Heavier</v>
      </c>
      <c r="K36" t="str">
        <v>brown, grey</v>
      </c>
      <c r="L36" t="str">
        <v>light</v>
      </c>
      <c r="M36" t="str">
        <v>blue</v>
      </c>
      <c r="N36">
        <v>52</v>
      </c>
      <c r="O36" t="b">
        <v>1</v>
      </c>
      <c r="P36">
        <v>18980</v>
      </c>
      <c r="Q36">
        <v>0</v>
      </c>
      <c r="R36" t="str">
        <v>Tatooine</v>
      </c>
      <c r="S36" t="str">
        <v>Human</v>
      </c>
      <c r="T36" t="str">
        <v>Attack of the Clones</v>
      </c>
      <c r="U36" t="str">
        <v xml:space="preserve">Attack of the Clones ,  Revenge of the Sith ,  A New Hope </v>
      </c>
    </row>
    <row r="37" spans="1:21" x14ac:dyDescent="0.3">
      <c r="A37" t="str">
        <v>Ayla Secura</v>
      </c>
      <c r="B37">
        <v>1.78</v>
      </c>
      <c r="C37">
        <v>35</v>
      </c>
      <c r="D37">
        <v>178</v>
      </c>
      <c r="E37">
        <v>70</v>
      </c>
      <c r="F37">
        <v>55</v>
      </c>
      <c r="G37">
        <v>121.25</v>
      </c>
      <c r="H37">
        <v>17.35891932836763</v>
      </c>
      <c r="I37">
        <v>52</v>
      </c>
      <c r="J37" t="str">
        <v>Lighter</v>
      </c>
      <c r="K37" t="str">
        <v>none</v>
      </c>
      <c r="L37" t="str">
        <v>blue</v>
      </c>
      <c r="M37" t="str">
        <v>hazel</v>
      </c>
      <c r="N37">
        <v>48</v>
      </c>
      <c r="O37" t="b">
        <v>1</v>
      </c>
      <c r="P37">
        <v>17520</v>
      </c>
      <c r="Q37">
        <v>0</v>
      </c>
      <c r="R37" t="str">
        <v>Ryloth</v>
      </c>
      <c r="S37" t="str">
        <v>Twi'lek</v>
      </c>
      <c r="T37" t="str">
        <v>Attack of the Clones</v>
      </c>
      <c r="U37" t="str">
        <v xml:space="preserve"> Attack of the Clones ,  The Phantom Menace ,  Revenge of the Sith </v>
      </c>
    </row>
    <row r="38" spans="1:21" x14ac:dyDescent="0.3">
      <c r="A38" t="str">
        <v>Shaak Ti</v>
      </c>
      <c r="B38">
        <v>1.78</v>
      </c>
      <c r="C38">
        <v>35</v>
      </c>
      <c r="D38">
        <v>178</v>
      </c>
      <c r="E38">
        <v>70</v>
      </c>
      <c r="F38">
        <v>57</v>
      </c>
      <c r="G38">
        <v>125.5</v>
      </c>
      <c r="H38">
        <v>17.99015275849009</v>
      </c>
      <c r="I38">
        <v>51</v>
      </c>
      <c r="J38" t="str">
        <v>Lighter</v>
      </c>
      <c r="K38" t="str">
        <v>none</v>
      </c>
      <c r="L38" t="str">
        <v>red, blue, white</v>
      </c>
      <c r="M38" t="str">
        <v>black</v>
      </c>
      <c r="N38" t="str">
        <v>NA</v>
      </c>
      <c r="O38" t="b">
        <v>0</v>
      </c>
      <c r="P38">
        <v>0</v>
      </c>
      <c r="Q38">
        <v>0</v>
      </c>
      <c r="R38" t="str">
        <v>Shili</v>
      </c>
      <c r="S38" t="str">
        <v>Togruta</v>
      </c>
      <c r="T38" t="str">
        <v>Attack of the Clones</v>
      </c>
      <c r="U38" t="str">
        <v xml:space="preserve">Attack of the Clones ,  Revenge of the Sith </v>
      </c>
    </row>
    <row r="39" spans="1:21" x14ac:dyDescent="0.3">
      <c r="A39" t="str">
        <v>Sly Moore</v>
      </c>
      <c r="B39">
        <v>1.78</v>
      </c>
      <c r="C39">
        <v>35</v>
      </c>
      <c r="D39">
        <v>178</v>
      </c>
      <c r="E39">
        <v>70</v>
      </c>
      <c r="F39">
        <v>48</v>
      </c>
      <c r="G39">
        <v>105.75</v>
      </c>
      <c r="H39">
        <v>15.149602322939023</v>
      </c>
      <c r="I39">
        <v>57</v>
      </c>
      <c r="J39" t="str">
        <v>Lighter</v>
      </c>
      <c r="K39" t="str">
        <v>none</v>
      </c>
      <c r="L39" t="str">
        <v>pale</v>
      </c>
      <c r="M39" t="str">
        <v>white</v>
      </c>
      <c r="N39" t="str">
        <v>NA</v>
      </c>
      <c r="O39" t="b">
        <v>0</v>
      </c>
      <c r="P39">
        <v>0</v>
      </c>
      <c r="Q39">
        <v>0</v>
      </c>
      <c r="R39" t="str">
        <v>Umbara</v>
      </c>
      <c r="S39" t="str">
        <v>NA</v>
      </c>
      <c r="T39" t="str">
        <v>Attack of the Clones</v>
      </c>
      <c r="U39" t="str">
        <v xml:space="preserve">Attack of the Clones ,  Revenge of the Sith </v>
      </c>
    </row>
    <row r="40" spans="1:21" x14ac:dyDescent="0.3">
      <c r="A40" t="str">
        <v>Wilhuff Tarkin</v>
      </c>
      <c r="B40">
        <v>1.8</v>
      </c>
      <c r="C40">
        <v>39</v>
      </c>
      <c r="D40">
        <v>180</v>
      </c>
      <c r="E40">
        <v>70.5</v>
      </c>
      <c r="F40" t="str">
        <v>NA</v>
      </c>
      <c r="G40" t="e">
        <v>#VALUE!</v>
      </c>
      <c r="H40">
        <v>0</v>
      </c>
      <c r="I40">
        <v>60</v>
      </c>
      <c r="J40" t="str">
        <v>Lighter</v>
      </c>
      <c r="K40" t="str">
        <v>auburn, grey</v>
      </c>
      <c r="L40" t="str">
        <v>fair</v>
      </c>
      <c r="M40" t="str">
        <v>blue</v>
      </c>
      <c r="N40">
        <v>64</v>
      </c>
      <c r="O40" t="b">
        <v>1</v>
      </c>
      <c r="P40">
        <v>23360</v>
      </c>
      <c r="Q40">
        <v>0</v>
      </c>
      <c r="R40" t="str">
        <v>Eriadu</v>
      </c>
      <c r="S40" t="str">
        <v>Human</v>
      </c>
      <c r="T40" t="str">
        <v>Revenge of the Sith</v>
      </c>
      <c r="U40" t="str">
        <v xml:space="preserve">Revenge of the Sith ,  A New Hope </v>
      </c>
    </row>
    <row r="41" spans="1:21" x14ac:dyDescent="0.3">
      <c r="A41" t="str">
        <v>Han Solo</v>
      </c>
      <c r="B41">
        <v>1.8</v>
      </c>
      <c r="C41">
        <v>39</v>
      </c>
      <c r="D41">
        <v>180</v>
      </c>
      <c r="E41">
        <v>70.5</v>
      </c>
      <c r="F41">
        <v>80</v>
      </c>
      <c r="G41">
        <v>176.25</v>
      </c>
      <c r="H41">
        <v>24.691358024691358</v>
      </c>
      <c r="I41">
        <v>29</v>
      </c>
      <c r="J41" t="str">
        <v>Lighter</v>
      </c>
      <c r="K41" t="str">
        <v>brown</v>
      </c>
      <c r="L41" t="str">
        <v>fair</v>
      </c>
      <c r="M41" t="str">
        <v>brown</v>
      </c>
      <c r="N41">
        <v>29</v>
      </c>
      <c r="O41" t="b">
        <v>1</v>
      </c>
      <c r="P41">
        <v>10585</v>
      </c>
      <c r="Q41">
        <v>0</v>
      </c>
      <c r="R41" t="str">
        <v>Corellia</v>
      </c>
      <c r="S41" t="str">
        <v>Human</v>
      </c>
      <c r="T41" t="str">
        <v>Return of the Jedi</v>
      </c>
      <c r="U41" t="str">
        <v xml:space="preserve">Return of the Jedi ,  The Empire Strikes Back ,  A New Hope ,  The Force Awakens </v>
      </c>
    </row>
    <row r="42" spans="1:21" x14ac:dyDescent="0.3">
      <c r="A42" t="str">
        <v>Jek Tono Porkins</v>
      </c>
      <c r="B42">
        <v>1.8</v>
      </c>
      <c r="C42">
        <v>39</v>
      </c>
      <c r="D42">
        <v>180</v>
      </c>
      <c r="E42">
        <v>70.5</v>
      </c>
      <c r="F42">
        <v>110</v>
      </c>
      <c r="G42">
        <v>242.5</v>
      </c>
      <c r="H42">
        <v>33.950617283950614</v>
      </c>
      <c r="I42">
        <v>9</v>
      </c>
      <c r="J42" t="str">
        <v>Heavier</v>
      </c>
      <c r="K42" t="str">
        <v>brown</v>
      </c>
      <c r="L42" t="str">
        <v>fair</v>
      </c>
      <c r="M42" t="str">
        <v>blue</v>
      </c>
      <c r="N42" t="str">
        <v>NA</v>
      </c>
      <c r="O42" t="b">
        <v>0</v>
      </c>
      <c r="P42">
        <v>0</v>
      </c>
      <c r="Q42">
        <v>0</v>
      </c>
      <c r="R42" t="str">
        <v>Bestine IV</v>
      </c>
      <c r="S42" t="str">
        <v>Human</v>
      </c>
      <c r="T42" t="str">
        <v>A New Hope</v>
      </c>
      <c r="U42" t="str">
        <v>A New Hope</v>
      </c>
    </row>
    <row r="43" spans="1:21" x14ac:dyDescent="0.3">
      <c r="A43" t="str">
        <v>Ackbar</v>
      </c>
      <c r="B43">
        <v>1.8</v>
      </c>
      <c r="C43">
        <v>39</v>
      </c>
      <c r="D43">
        <v>180</v>
      </c>
      <c r="E43">
        <v>70.5</v>
      </c>
      <c r="F43">
        <v>83</v>
      </c>
      <c r="G43">
        <v>182.75</v>
      </c>
      <c r="H43">
        <v>25.617283950617281</v>
      </c>
      <c r="I43">
        <v>23</v>
      </c>
      <c r="J43" t="str">
        <v>Lighter</v>
      </c>
      <c r="K43" t="str">
        <v>none</v>
      </c>
      <c r="L43" t="str">
        <v>brown mottle</v>
      </c>
      <c r="M43" t="str">
        <v>orange</v>
      </c>
      <c r="N43">
        <v>41</v>
      </c>
      <c r="O43" t="b">
        <v>1</v>
      </c>
      <c r="P43">
        <v>14965</v>
      </c>
      <c r="Q43">
        <v>0</v>
      </c>
      <c r="R43" t="str">
        <v>Mon Cala</v>
      </c>
      <c r="S43" t="str">
        <v>Mon Calamari</v>
      </c>
      <c r="T43" t="str">
        <v>Return of the Jedi</v>
      </c>
      <c r="U43" t="str">
        <v xml:space="preserve">Return of the Jedi ,  The Force Awakens </v>
      </c>
    </row>
    <row r="44" spans="1:21" x14ac:dyDescent="0.3">
      <c r="A44" t="str">
        <v>Bib Fortuna</v>
      </c>
      <c r="B44">
        <v>1.8</v>
      </c>
      <c r="C44">
        <v>39</v>
      </c>
      <c r="D44">
        <v>180</v>
      </c>
      <c r="E44">
        <v>70.5</v>
      </c>
      <c r="F44" t="str">
        <v>NA</v>
      </c>
      <c r="G44" t="e">
        <v>#VALUE!</v>
      </c>
      <c r="H44">
        <v>0</v>
      </c>
      <c r="I44">
        <v>60</v>
      </c>
      <c r="J44" t="str">
        <v>Lighter</v>
      </c>
      <c r="K44" t="str">
        <v>none</v>
      </c>
      <c r="L44" t="str">
        <v>pale</v>
      </c>
      <c r="M44" t="str">
        <v>pink</v>
      </c>
      <c r="N44" t="str">
        <v>NA</v>
      </c>
      <c r="O44" t="b">
        <v>0</v>
      </c>
      <c r="P44">
        <v>0</v>
      </c>
      <c r="Q44">
        <v>0</v>
      </c>
      <c r="R44" t="str">
        <v>Ryloth</v>
      </c>
      <c r="S44" t="str">
        <v>Twi'lek</v>
      </c>
      <c r="T44" t="str">
        <v>Return of the Jedi</v>
      </c>
      <c r="U44" t="str">
        <v>Return of the Jedi</v>
      </c>
    </row>
    <row r="45" spans="1:21" x14ac:dyDescent="0.3">
      <c r="A45" t="str">
        <v>Obi-Wan Kenobi</v>
      </c>
      <c r="B45">
        <v>1.82</v>
      </c>
      <c r="C45">
        <v>44</v>
      </c>
      <c r="D45">
        <v>182</v>
      </c>
      <c r="E45">
        <v>71.5</v>
      </c>
      <c r="F45">
        <v>77</v>
      </c>
      <c r="G45">
        <v>169.75</v>
      </c>
      <c r="H45">
        <v>23.245984784446321</v>
      </c>
      <c r="I45">
        <v>39</v>
      </c>
      <c r="J45" t="str">
        <v>Lighter</v>
      </c>
      <c r="K45" t="str">
        <v>auburn, white</v>
      </c>
      <c r="L45" t="str">
        <v>fair</v>
      </c>
      <c r="M45" t="str">
        <v>blue-gray</v>
      </c>
      <c r="N45">
        <v>57</v>
      </c>
      <c r="O45" t="b">
        <v>1</v>
      </c>
      <c r="P45">
        <v>20805</v>
      </c>
      <c r="Q45">
        <v>0</v>
      </c>
      <c r="R45" t="str">
        <v>Stewjon</v>
      </c>
      <c r="S45" t="str">
        <v>Human</v>
      </c>
      <c r="T45" t="str">
        <v>Attack of the Clones</v>
      </c>
      <c r="U45" t="str">
        <v xml:space="preserve">Attack of the Clones ,  The Phantom Menace ,  Revenge of the Sith ,  Return of the Jedi ,  The Empire Strikes Back ,  A New Hope </v>
      </c>
    </row>
    <row r="46" spans="1:21" x14ac:dyDescent="0.3">
      <c r="A46" t="str">
        <v>Biggs Darklighter</v>
      </c>
      <c r="B46">
        <v>1.83</v>
      </c>
      <c r="C46">
        <v>45</v>
      </c>
      <c r="D46">
        <v>183</v>
      </c>
      <c r="E46">
        <v>72</v>
      </c>
      <c r="F46">
        <v>84</v>
      </c>
      <c r="G46">
        <v>185</v>
      </c>
      <c r="H46">
        <v>25.082863029651524</v>
      </c>
      <c r="I46">
        <v>25</v>
      </c>
      <c r="J46" t="str">
        <v>Lighter</v>
      </c>
      <c r="K46" t="str">
        <v>black</v>
      </c>
      <c r="L46" t="str">
        <v>light</v>
      </c>
      <c r="M46" t="str">
        <v>brown</v>
      </c>
      <c r="N46">
        <v>24</v>
      </c>
      <c r="O46" t="b">
        <v>1</v>
      </c>
      <c r="P46">
        <v>8760</v>
      </c>
      <c r="Q46">
        <v>0</v>
      </c>
      <c r="R46" t="str">
        <v>Tatooine</v>
      </c>
      <c r="S46" t="str">
        <v>Human</v>
      </c>
      <c r="T46" t="str">
        <v>A New Hope</v>
      </c>
      <c r="U46" t="str">
        <v>A New Hope</v>
      </c>
    </row>
    <row r="47" spans="1:21" x14ac:dyDescent="0.3">
      <c r="A47" t="str">
        <v>Boba Fett</v>
      </c>
      <c r="B47">
        <v>1.83</v>
      </c>
      <c r="C47">
        <v>45</v>
      </c>
      <c r="D47">
        <v>183</v>
      </c>
      <c r="E47">
        <v>72</v>
      </c>
      <c r="F47">
        <v>78.2</v>
      </c>
      <c r="G47">
        <v>172.25</v>
      </c>
      <c r="H47">
        <v>23.350951058556539</v>
      </c>
      <c r="I47">
        <v>38</v>
      </c>
      <c r="J47" t="str">
        <v>Lighter</v>
      </c>
      <c r="K47" t="str">
        <v>black</v>
      </c>
      <c r="L47" t="str">
        <v>fair</v>
      </c>
      <c r="M47" t="str">
        <v>brown</v>
      </c>
      <c r="N47">
        <v>31.5</v>
      </c>
      <c r="O47" t="b">
        <v>1</v>
      </c>
      <c r="P47">
        <v>11497.5</v>
      </c>
      <c r="Q47">
        <v>0</v>
      </c>
      <c r="R47" t="str">
        <v>Kamino</v>
      </c>
      <c r="S47" t="str">
        <v>Human</v>
      </c>
      <c r="T47" t="str">
        <v>Attack of the Clones</v>
      </c>
      <c r="U47" t="str">
        <v xml:space="preserve">Attack of the Clones ,  Return of the Jedi ,  The Empire Strikes Back </v>
      </c>
    </row>
    <row r="48" spans="1:21" x14ac:dyDescent="0.3">
      <c r="A48" t="str">
        <v>Ric Olié</v>
      </c>
      <c r="B48">
        <v>1.83</v>
      </c>
      <c r="C48">
        <v>45</v>
      </c>
      <c r="D48">
        <v>183</v>
      </c>
      <c r="E48">
        <v>72</v>
      </c>
      <c r="F48" t="str">
        <v>NA</v>
      </c>
      <c r="G48" t="e">
        <v>#VALUE!</v>
      </c>
      <c r="H48">
        <v>0</v>
      </c>
      <c r="I48">
        <v>60</v>
      </c>
      <c r="J48" t="str">
        <v>Lighter</v>
      </c>
      <c r="K48" t="str">
        <v>brown</v>
      </c>
      <c r="L48" t="str">
        <v>fair</v>
      </c>
      <c r="M48" t="str">
        <v>blue</v>
      </c>
      <c r="N48" t="str">
        <v>NA</v>
      </c>
      <c r="O48" t="b">
        <v>0</v>
      </c>
      <c r="P48">
        <v>0</v>
      </c>
      <c r="Q48">
        <v>0</v>
      </c>
      <c r="R48" t="str">
        <v>Naboo</v>
      </c>
      <c r="S48" t="str">
        <v>NA</v>
      </c>
      <c r="T48" t="str">
        <v>The Phantom Menace</v>
      </c>
      <c r="U48" t="str">
        <v>The Phantom Menace</v>
      </c>
    </row>
    <row r="49" spans="1:21" x14ac:dyDescent="0.3">
      <c r="A49" t="str">
        <v>Quarsh Panaka</v>
      </c>
      <c r="B49">
        <v>1.83</v>
      </c>
      <c r="C49">
        <v>45</v>
      </c>
      <c r="D49">
        <v>183</v>
      </c>
      <c r="E49">
        <v>72</v>
      </c>
      <c r="F49" t="str">
        <v>NA</v>
      </c>
      <c r="G49" t="e">
        <v>#VALUE!</v>
      </c>
      <c r="H49">
        <v>0</v>
      </c>
      <c r="I49">
        <v>60</v>
      </c>
      <c r="J49" t="str">
        <v>Lighter</v>
      </c>
      <c r="K49" t="str">
        <v>black</v>
      </c>
      <c r="L49" t="str">
        <v>dark</v>
      </c>
      <c r="M49" t="str">
        <v>brown</v>
      </c>
      <c r="N49">
        <v>62</v>
      </c>
      <c r="O49" t="b">
        <v>1</v>
      </c>
      <c r="P49">
        <v>22630</v>
      </c>
      <c r="Q49">
        <v>0</v>
      </c>
      <c r="R49" t="str">
        <v>Naboo</v>
      </c>
      <c r="S49" t="str">
        <v>NA</v>
      </c>
      <c r="T49" t="str">
        <v>The Phantom Menace</v>
      </c>
      <c r="U49" t="str">
        <v>The Phantom Menace</v>
      </c>
    </row>
    <row r="50" spans="1:21" x14ac:dyDescent="0.3">
      <c r="A50" t="str">
        <v>Cliegg Lars</v>
      </c>
      <c r="B50">
        <v>1.83</v>
      </c>
      <c r="C50">
        <v>45</v>
      </c>
      <c r="D50">
        <v>183</v>
      </c>
      <c r="E50">
        <v>72</v>
      </c>
      <c r="F50" t="str">
        <v>NA</v>
      </c>
      <c r="G50" t="e">
        <v>#VALUE!</v>
      </c>
      <c r="H50">
        <v>0</v>
      </c>
      <c r="I50">
        <v>60</v>
      </c>
      <c r="J50" t="str">
        <v>Lighter</v>
      </c>
      <c r="K50" t="str">
        <v>brown</v>
      </c>
      <c r="L50" t="str">
        <v>fair</v>
      </c>
      <c r="M50" t="str">
        <v>blue</v>
      </c>
      <c r="N50">
        <v>82</v>
      </c>
      <c r="O50" t="b">
        <v>1</v>
      </c>
      <c r="P50">
        <v>29930</v>
      </c>
      <c r="Q50">
        <v>0</v>
      </c>
      <c r="R50" t="str">
        <v>Tatooine</v>
      </c>
      <c r="S50" t="str">
        <v>Human</v>
      </c>
      <c r="T50" t="str">
        <v>Attack of the Clones</v>
      </c>
      <c r="U50" t="str">
        <v>Attack of the Clones</v>
      </c>
    </row>
    <row r="51" spans="1:21" x14ac:dyDescent="0.3">
      <c r="A51" t="str">
        <v>Poggle the Lesser</v>
      </c>
      <c r="B51">
        <v>1.83</v>
      </c>
      <c r="C51">
        <v>45</v>
      </c>
      <c r="D51">
        <v>183</v>
      </c>
      <c r="E51">
        <v>72</v>
      </c>
      <c r="F51">
        <v>80</v>
      </c>
      <c r="G51">
        <v>176.25</v>
      </c>
      <c r="H51">
        <v>23.888440980620498</v>
      </c>
      <c r="I51">
        <v>34</v>
      </c>
      <c r="J51" t="str">
        <v>Lighter</v>
      </c>
      <c r="K51" t="str">
        <v>none</v>
      </c>
      <c r="L51" t="str">
        <v>green</v>
      </c>
      <c r="M51" t="str">
        <v>yellow</v>
      </c>
      <c r="N51" t="str">
        <v>NA</v>
      </c>
      <c r="O51" t="b">
        <v>0</v>
      </c>
      <c r="P51">
        <v>0</v>
      </c>
      <c r="Q51">
        <v>0</v>
      </c>
      <c r="R51" t="str">
        <v>Geonosis</v>
      </c>
      <c r="S51" t="str">
        <v>Geonosian</v>
      </c>
      <c r="T51" t="str">
        <v>Attack of the Clones</v>
      </c>
      <c r="U51" t="str">
        <v xml:space="preserve">Attack of the Clones ,  Revenge of the Sith </v>
      </c>
    </row>
    <row r="52" spans="1:21" x14ac:dyDescent="0.3">
      <c r="A52" t="str">
        <v>Jango Fett</v>
      </c>
      <c r="B52">
        <v>1.83</v>
      </c>
      <c r="C52">
        <v>45</v>
      </c>
      <c r="D52">
        <v>183</v>
      </c>
      <c r="E52">
        <v>72</v>
      </c>
      <c r="F52">
        <v>79</v>
      </c>
      <c r="G52">
        <v>174</v>
      </c>
      <c r="H52">
        <v>23.589835468362743</v>
      </c>
      <c r="I52">
        <v>37</v>
      </c>
      <c r="J52" t="str">
        <v>Lighter</v>
      </c>
      <c r="K52" t="str">
        <v>black</v>
      </c>
      <c r="L52" t="str">
        <v>tan</v>
      </c>
      <c r="M52" t="str">
        <v>brown</v>
      </c>
      <c r="N52">
        <v>66</v>
      </c>
      <c r="O52" t="b">
        <v>1</v>
      </c>
      <c r="P52">
        <v>24090</v>
      </c>
      <c r="Q52">
        <v>0</v>
      </c>
      <c r="R52" t="str">
        <v>Concord Dawn</v>
      </c>
      <c r="S52" t="str">
        <v>Human</v>
      </c>
      <c r="T52" t="str">
        <v>Attack of the Clones</v>
      </c>
      <c r="U52" t="str">
        <v>Attack of the Clones</v>
      </c>
    </row>
    <row r="53" spans="1:21" x14ac:dyDescent="0.3">
      <c r="A53" t="str">
        <v>Adi Gallia</v>
      </c>
      <c r="B53">
        <v>1.84</v>
      </c>
      <c r="C53">
        <v>52</v>
      </c>
      <c r="D53">
        <v>184</v>
      </c>
      <c r="E53">
        <v>72</v>
      </c>
      <c r="F53">
        <v>50</v>
      </c>
      <c r="G53">
        <v>110</v>
      </c>
      <c r="H53">
        <v>14.768431001890358</v>
      </c>
      <c r="I53">
        <v>58</v>
      </c>
      <c r="J53" t="str">
        <v>Lighter</v>
      </c>
      <c r="K53" t="str">
        <v>none</v>
      </c>
      <c r="L53" t="str">
        <v>dark</v>
      </c>
      <c r="M53" t="str">
        <v>blue</v>
      </c>
      <c r="N53" t="str">
        <v>NA</v>
      </c>
      <c r="O53" t="b">
        <v>0</v>
      </c>
      <c r="P53">
        <v>0</v>
      </c>
      <c r="Q53">
        <v>0</v>
      </c>
      <c r="R53" t="str">
        <v>Coruscant</v>
      </c>
      <c r="S53" t="str">
        <v>Tholothian</v>
      </c>
      <c r="T53" t="str">
        <v>The Phantom Menace</v>
      </c>
      <c r="U53" t="str">
        <v xml:space="preserve">The Phantom Menace ,  Revenge of the Sith </v>
      </c>
    </row>
    <row r="54" spans="1:21" x14ac:dyDescent="0.3">
      <c r="A54" t="str">
        <v>Gregar Typho</v>
      </c>
      <c r="B54">
        <v>1.85</v>
      </c>
      <c r="C54">
        <v>53</v>
      </c>
      <c r="D54">
        <v>185</v>
      </c>
      <c r="E54">
        <v>72.5</v>
      </c>
      <c r="F54">
        <v>85</v>
      </c>
      <c r="G54">
        <v>187.25</v>
      </c>
      <c r="H54">
        <v>24.835646457268076</v>
      </c>
      <c r="I54">
        <v>27</v>
      </c>
      <c r="J54" t="str">
        <v>Lighter</v>
      </c>
      <c r="K54" t="str">
        <v>black</v>
      </c>
      <c r="L54" t="str">
        <v>dark</v>
      </c>
      <c r="M54" t="str">
        <v>brown</v>
      </c>
      <c r="N54" t="str">
        <v>NA</v>
      </c>
      <c r="O54" t="b">
        <v>0</v>
      </c>
      <c r="P54">
        <v>0</v>
      </c>
      <c r="Q54">
        <v>0</v>
      </c>
      <c r="R54" t="str">
        <v>Naboo</v>
      </c>
      <c r="S54" t="str">
        <v>Human</v>
      </c>
      <c r="T54" t="str">
        <v>Attack of the Clones</v>
      </c>
      <c r="U54" t="str">
        <v>Attack of the Clones</v>
      </c>
    </row>
    <row r="55" spans="1:21" x14ac:dyDescent="0.3">
      <c r="A55" t="str">
        <v>Anakin Skywalker</v>
      </c>
      <c r="B55">
        <v>1.88</v>
      </c>
      <c r="C55">
        <v>54</v>
      </c>
      <c r="D55">
        <v>188</v>
      </c>
      <c r="E55">
        <v>74</v>
      </c>
      <c r="F55">
        <v>84</v>
      </c>
      <c r="G55">
        <v>185</v>
      </c>
      <c r="H55">
        <v>23.766410140334994</v>
      </c>
      <c r="I55">
        <v>35</v>
      </c>
      <c r="J55" t="str">
        <v>Lighter</v>
      </c>
      <c r="K55" t="str">
        <v>blond</v>
      </c>
      <c r="L55" t="str">
        <v>fair</v>
      </c>
      <c r="M55" t="str">
        <v>blue</v>
      </c>
      <c r="N55">
        <v>41.9</v>
      </c>
      <c r="O55" t="b">
        <v>1</v>
      </c>
      <c r="P55">
        <v>15293.5</v>
      </c>
      <c r="Q55">
        <v>0</v>
      </c>
      <c r="R55" t="str">
        <v>Tatooine</v>
      </c>
      <c r="S55" t="str">
        <v>Human</v>
      </c>
      <c r="T55" t="str">
        <v>Attack of the Clones</v>
      </c>
      <c r="U55" t="str">
        <v xml:space="preserve">Attack of the Clones ,  The Phantom Menace ,  Revenge of the Sith </v>
      </c>
    </row>
    <row r="56" spans="1:21" x14ac:dyDescent="0.3">
      <c r="A56" t="str">
        <v>Mace Windu</v>
      </c>
      <c r="B56">
        <v>1.88</v>
      </c>
      <c r="C56">
        <v>54</v>
      </c>
      <c r="D56">
        <v>188</v>
      </c>
      <c r="E56">
        <v>74</v>
      </c>
      <c r="F56">
        <v>84</v>
      </c>
      <c r="G56">
        <v>185</v>
      </c>
      <c r="H56">
        <v>23.766410140334994</v>
      </c>
      <c r="I56">
        <v>35</v>
      </c>
      <c r="J56" t="str">
        <v>Lighter</v>
      </c>
      <c r="K56" t="str">
        <v>none</v>
      </c>
      <c r="L56" t="str">
        <v>dark</v>
      </c>
      <c r="M56" t="str">
        <v>brown</v>
      </c>
      <c r="N56">
        <v>72</v>
      </c>
      <c r="O56" t="b">
        <v>1</v>
      </c>
      <c r="P56">
        <v>26280</v>
      </c>
      <c r="Q56">
        <v>0</v>
      </c>
      <c r="R56" t="str">
        <v>Haruun Kal</v>
      </c>
      <c r="S56" t="str">
        <v>Human</v>
      </c>
      <c r="T56" t="str">
        <v>Attack of the Clones</v>
      </c>
      <c r="U56" t="str">
        <v xml:space="preserve">Attack of the Clones ,  The Phantom Menace ,  Revenge of the Sith </v>
      </c>
    </row>
    <row r="57" spans="1:21" x14ac:dyDescent="0.3">
      <c r="A57" t="str">
        <v>Saesee Tiin</v>
      </c>
      <c r="B57">
        <v>1.88</v>
      </c>
      <c r="C57">
        <v>54</v>
      </c>
      <c r="D57">
        <v>188</v>
      </c>
      <c r="E57">
        <v>74</v>
      </c>
      <c r="F57" t="str">
        <v>NA</v>
      </c>
      <c r="G57" t="e">
        <v>#VALUE!</v>
      </c>
      <c r="H57">
        <v>0</v>
      </c>
      <c r="I57">
        <v>60</v>
      </c>
      <c r="J57" t="str">
        <v>Lighter</v>
      </c>
      <c r="K57" t="str">
        <v>none</v>
      </c>
      <c r="L57" t="str">
        <v>pale</v>
      </c>
      <c r="M57" t="str">
        <v>orange</v>
      </c>
      <c r="N57" t="str">
        <v>NA</v>
      </c>
      <c r="O57" t="b">
        <v>0</v>
      </c>
      <c r="P57">
        <v>0</v>
      </c>
      <c r="Q57">
        <v>0</v>
      </c>
      <c r="R57" t="str">
        <v>Iktotch</v>
      </c>
      <c r="S57" t="str">
        <v>Iktotchi</v>
      </c>
      <c r="T57" t="str">
        <v>The Phantom Menace</v>
      </c>
      <c r="U57" t="str">
        <v xml:space="preserve">The Phantom Menace ,  Revenge of the Sith </v>
      </c>
    </row>
    <row r="58" spans="1:21" x14ac:dyDescent="0.3">
      <c r="A58" t="str">
        <v>Plo Koon</v>
      </c>
      <c r="B58">
        <v>1.88</v>
      </c>
      <c r="C58">
        <v>54</v>
      </c>
      <c r="D58">
        <v>188</v>
      </c>
      <c r="E58">
        <v>74</v>
      </c>
      <c r="F58">
        <v>80</v>
      </c>
      <c r="G58">
        <v>176.25</v>
      </c>
      <c r="H58">
        <v>22.634676324128566</v>
      </c>
      <c r="I58">
        <v>41</v>
      </c>
      <c r="J58" t="str">
        <v>Lighter</v>
      </c>
      <c r="K58" t="str">
        <v>none</v>
      </c>
      <c r="L58" t="str">
        <v>orange</v>
      </c>
      <c r="M58" t="str">
        <v>black</v>
      </c>
      <c r="N58">
        <v>22</v>
      </c>
      <c r="O58" t="b">
        <v>1</v>
      </c>
      <c r="P58">
        <v>8030</v>
      </c>
      <c r="Q58">
        <v>0</v>
      </c>
      <c r="R58" t="str">
        <v>Dorin</v>
      </c>
      <c r="S58" t="str">
        <v>Kel Dor</v>
      </c>
      <c r="T58" t="str">
        <v>Attack of the Clones</v>
      </c>
      <c r="U58" t="str">
        <v xml:space="preserve">Attack of the Clones ,  The Phantom Menace ,  Revenge of the Sith </v>
      </c>
    </row>
    <row r="59" spans="1:21" x14ac:dyDescent="0.3">
      <c r="A59" t="str">
        <v>Raymus Antilles</v>
      </c>
      <c r="B59">
        <v>1.88</v>
      </c>
      <c r="C59">
        <v>54</v>
      </c>
      <c r="D59">
        <v>188</v>
      </c>
      <c r="E59">
        <v>74</v>
      </c>
      <c r="F59">
        <v>79</v>
      </c>
      <c r="G59">
        <v>174</v>
      </c>
      <c r="H59">
        <v>22.351742870076958</v>
      </c>
      <c r="I59">
        <v>42</v>
      </c>
      <c r="J59" t="str">
        <v>Lighter</v>
      </c>
      <c r="K59" t="str">
        <v>brown</v>
      </c>
      <c r="L59" t="str">
        <v>light</v>
      </c>
      <c r="M59" t="str">
        <v>brown</v>
      </c>
      <c r="N59" t="str">
        <v>NA</v>
      </c>
      <c r="O59" t="b">
        <v>0</v>
      </c>
      <c r="P59">
        <v>0</v>
      </c>
      <c r="Q59">
        <v>0</v>
      </c>
      <c r="R59" t="str">
        <v>Alderaan</v>
      </c>
      <c r="S59" t="str">
        <v>Human</v>
      </c>
      <c r="T59" t="str">
        <v>Revenge of the Sith</v>
      </c>
      <c r="U59" t="str">
        <v xml:space="preserve">Revenge of the Sith ,  A New Hope </v>
      </c>
    </row>
    <row r="60" spans="1:21" x14ac:dyDescent="0.3">
      <c r="A60" t="str">
        <v>Bossk</v>
      </c>
      <c r="B60">
        <v>1.9</v>
      </c>
      <c r="C60">
        <v>59</v>
      </c>
      <c r="D60">
        <v>190</v>
      </c>
      <c r="E60">
        <v>74.5</v>
      </c>
      <c r="F60">
        <v>113</v>
      </c>
      <c r="G60">
        <v>249</v>
      </c>
      <c r="H60">
        <v>31.301939058171747</v>
      </c>
      <c r="I60">
        <v>12</v>
      </c>
      <c r="J60" t="str">
        <v>Lighter</v>
      </c>
      <c r="K60" t="str">
        <v>none</v>
      </c>
      <c r="L60" t="str">
        <v>green</v>
      </c>
      <c r="M60" t="str">
        <v>red</v>
      </c>
      <c r="N60">
        <v>53</v>
      </c>
      <c r="O60" t="b">
        <v>1</v>
      </c>
      <c r="P60">
        <v>19345</v>
      </c>
      <c r="Q60">
        <v>0</v>
      </c>
      <c r="R60" t="str">
        <v>Trandosha</v>
      </c>
      <c r="S60" t="str">
        <v>Trandoshan</v>
      </c>
      <c r="T60" t="str">
        <v>The Empire Strikes Back</v>
      </c>
      <c r="U60" t="str">
        <v>The Empire Strikes Back</v>
      </c>
    </row>
    <row r="61" spans="1:21" x14ac:dyDescent="0.3">
      <c r="A61" t="str">
        <v>Nute Gunray</v>
      </c>
      <c r="B61">
        <v>1.91</v>
      </c>
      <c r="C61">
        <v>60</v>
      </c>
      <c r="D61">
        <v>191</v>
      </c>
      <c r="E61">
        <v>75</v>
      </c>
      <c r="F61">
        <v>90</v>
      </c>
      <c r="G61">
        <v>198.25</v>
      </c>
      <c r="H61">
        <v>24.670376360297141</v>
      </c>
      <c r="I61">
        <v>30</v>
      </c>
      <c r="J61" t="str">
        <v>Lighter</v>
      </c>
      <c r="K61" t="str">
        <v>none</v>
      </c>
      <c r="L61" t="str">
        <v>mottled green</v>
      </c>
      <c r="M61" t="str">
        <v>red</v>
      </c>
      <c r="N61" t="str">
        <v>NA</v>
      </c>
      <c r="O61" t="b">
        <v>0</v>
      </c>
      <c r="P61">
        <v>0</v>
      </c>
      <c r="Q61">
        <v>0</v>
      </c>
      <c r="R61" t="str">
        <v>Cato Neimoidia</v>
      </c>
      <c r="S61" t="str">
        <v>Neimodian</v>
      </c>
      <c r="T61" t="str">
        <v>Attack of the Clones</v>
      </c>
      <c r="U61" t="str">
        <v xml:space="preserve">Attack of the Clones ,  The Phantom Menace ,  Revenge of the Sith </v>
      </c>
    </row>
    <row r="62" spans="1:21" x14ac:dyDescent="0.3">
      <c r="A62" t="str">
        <v>Bail Prestor Organa</v>
      </c>
      <c r="B62">
        <v>1.91</v>
      </c>
      <c r="C62">
        <v>60</v>
      </c>
      <c r="D62">
        <v>191</v>
      </c>
      <c r="E62">
        <v>75</v>
      </c>
      <c r="F62" t="str">
        <v>NA</v>
      </c>
      <c r="G62" t="e">
        <v>#VALUE!</v>
      </c>
      <c r="H62">
        <v>0</v>
      </c>
      <c r="I62">
        <v>60</v>
      </c>
      <c r="J62" t="str">
        <v>Lighter</v>
      </c>
      <c r="K62" t="str">
        <v>black</v>
      </c>
      <c r="L62" t="str">
        <v>tan</v>
      </c>
      <c r="M62" t="str">
        <v>brown</v>
      </c>
      <c r="N62">
        <v>67</v>
      </c>
      <c r="O62" t="b">
        <v>1</v>
      </c>
      <c r="P62">
        <v>24455</v>
      </c>
      <c r="Q62">
        <v>0</v>
      </c>
      <c r="R62" t="str">
        <v>Alderaan</v>
      </c>
      <c r="S62" t="str">
        <v>Human</v>
      </c>
      <c r="T62" t="str">
        <v>Attack of the Clones</v>
      </c>
      <c r="U62" t="str">
        <v xml:space="preserve">Attack of the Clones ,  Revenge of the Sith </v>
      </c>
    </row>
    <row r="63" spans="1:21" x14ac:dyDescent="0.3">
      <c r="A63" t="str">
        <v>San Hill</v>
      </c>
      <c r="B63">
        <v>1.91</v>
      </c>
      <c r="C63">
        <v>60</v>
      </c>
      <c r="D63">
        <v>191</v>
      </c>
      <c r="E63">
        <v>75</v>
      </c>
      <c r="F63" t="str">
        <v>NA</v>
      </c>
      <c r="G63" t="e">
        <v>#VALUE!</v>
      </c>
      <c r="H63">
        <v>0</v>
      </c>
      <c r="I63">
        <v>60</v>
      </c>
      <c r="J63" t="str">
        <v>Lighter</v>
      </c>
      <c r="K63" t="str">
        <v>none</v>
      </c>
      <c r="L63" t="str">
        <v>grey</v>
      </c>
      <c r="M63" t="str">
        <v>gold</v>
      </c>
      <c r="N63" t="str">
        <v>NA</v>
      </c>
      <c r="O63" t="b">
        <v>0</v>
      </c>
      <c r="P63">
        <v>0</v>
      </c>
      <c r="Q63">
        <v>0</v>
      </c>
      <c r="R63" t="str">
        <v>Muunilinst</v>
      </c>
      <c r="S63" t="str">
        <v>Muun</v>
      </c>
      <c r="T63" t="str">
        <v>Attack of the Clones</v>
      </c>
      <c r="U63" t="str">
        <v>Attack of the Clones</v>
      </c>
    </row>
    <row r="64" spans="1:21" x14ac:dyDescent="0.3">
      <c r="A64" t="str">
        <v>Qui-Gon Jinn</v>
      </c>
      <c r="B64">
        <v>1.93</v>
      </c>
      <c r="C64">
        <v>63</v>
      </c>
      <c r="D64">
        <v>193</v>
      </c>
      <c r="E64">
        <v>75.5</v>
      </c>
      <c r="F64">
        <v>89</v>
      </c>
      <c r="G64">
        <v>196</v>
      </c>
      <c r="H64">
        <v>23.893258879433006</v>
      </c>
      <c r="I64">
        <v>33</v>
      </c>
      <c r="J64" t="str">
        <v>Lighter</v>
      </c>
      <c r="K64" t="str">
        <v>brown</v>
      </c>
      <c r="L64" t="str">
        <v>fair</v>
      </c>
      <c r="M64" t="str">
        <v>blue</v>
      </c>
      <c r="N64">
        <v>92</v>
      </c>
      <c r="O64" t="b">
        <v>1</v>
      </c>
      <c r="P64">
        <v>33580</v>
      </c>
      <c r="Q64">
        <v>0</v>
      </c>
      <c r="R64" t="str">
        <v>NA</v>
      </c>
      <c r="S64" t="str">
        <v>Human</v>
      </c>
      <c r="T64" t="str">
        <v>The Phantom Menace</v>
      </c>
      <c r="U64" t="str">
        <v>The Phantom Menace</v>
      </c>
    </row>
    <row r="65" spans="1:21" x14ac:dyDescent="0.3">
      <c r="A65" t="str">
        <v>Dooku</v>
      </c>
      <c r="B65">
        <v>1.93</v>
      </c>
      <c r="C65">
        <v>63</v>
      </c>
      <c r="D65">
        <v>193</v>
      </c>
      <c r="E65">
        <v>75.5</v>
      </c>
      <c r="F65">
        <v>80</v>
      </c>
      <c r="G65">
        <v>176.25</v>
      </c>
      <c r="H65">
        <v>21.477086633198208</v>
      </c>
      <c r="I65">
        <v>45</v>
      </c>
      <c r="J65" t="str">
        <v>Lighter</v>
      </c>
      <c r="K65" t="str">
        <v>white</v>
      </c>
      <c r="L65" t="str">
        <v>fair</v>
      </c>
      <c r="M65" t="str">
        <v>brown</v>
      </c>
      <c r="N65">
        <v>102</v>
      </c>
      <c r="O65" t="b">
        <v>1</v>
      </c>
      <c r="P65">
        <v>37230</v>
      </c>
      <c r="Q65">
        <v>0</v>
      </c>
      <c r="R65" t="str">
        <v>Serenno</v>
      </c>
      <c r="S65" t="str">
        <v>Human</v>
      </c>
      <c r="T65" t="str">
        <v>Attack of the Clones</v>
      </c>
      <c r="U65" t="str">
        <v xml:space="preserve">Attack of the Clones ,  Revenge of the Sith </v>
      </c>
    </row>
    <row r="66" spans="1:21" x14ac:dyDescent="0.3">
      <c r="A66" t="str">
        <v>Wat Tambor</v>
      </c>
      <c r="B66">
        <v>1.93</v>
      </c>
      <c r="C66">
        <v>63</v>
      </c>
      <c r="D66">
        <v>193</v>
      </c>
      <c r="E66">
        <v>75.5</v>
      </c>
      <c r="F66">
        <v>48</v>
      </c>
      <c r="G66">
        <v>105.75</v>
      </c>
      <c r="H66">
        <v>12.886251979918924</v>
      </c>
      <c r="I66">
        <v>59</v>
      </c>
      <c r="J66" t="str">
        <v>Lighter</v>
      </c>
      <c r="K66" t="str">
        <v>none</v>
      </c>
      <c r="L66" t="str">
        <v>green, grey</v>
      </c>
      <c r="M66" t="str">
        <v>unknown</v>
      </c>
      <c r="N66" t="str">
        <v>NA</v>
      </c>
      <c r="O66" t="b">
        <v>0</v>
      </c>
      <c r="P66">
        <v>0</v>
      </c>
      <c r="Q66">
        <v>0</v>
      </c>
      <c r="R66" t="str">
        <v>Skako</v>
      </c>
      <c r="S66" t="str">
        <v>Skakoan</v>
      </c>
      <c r="T66" t="str">
        <v>Attack of the Clones</v>
      </c>
      <c r="U66" t="str">
        <v>Attack of the Clones</v>
      </c>
    </row>
    <row r="67" spans="1:21" x14ac:dyDescent="0.3">
      <c r="A67" t="str">
        <v>Jar Jar Binks</v>
      </c>
      <c r="B67">
        <v>1.96</v>
      </c>
      <c r="C67">
        <v>66</v>
      </c>
      <c r="D67">
        <v>196</v>
      </c>
      <c r="E67">
        <v>77</v>
      </c>
      <c r="F67">
        <v>66</v>
      </c>
      <c r="G67">
        <v>145.5</v>
      </c>
      <c r="H67">
        <v>17.180341524364849</v>
      </c>
      <c r="I67">
        <v>53</v>
      </c>
      <c r="J67" t="str">
        <v>Lighter</v>
      </c>
      <c r="K67" t="str">
        <v>none</v>
      </c>
      <c r="L67" t="str">
        <v>orange</v>
      </c>
      <c r="M67" t="str">
        <v>orange</v>
      </c>
      <c r="N67">
        <v>52</v>
      </c>
      <c r="O67" t="b">
        <v>1</v>
      </c>
      <c r="P67">
        <v>18980</v>
      </c>
      <c r="Q67">
        <v>0</v>
      </c>
      <c r="R67" t="str">
        <v>Naboo</v>
      </c>
      <c r="S67" t="str">
        <v>Gungan</v>
      </c>
      <c r="T67" t="str">
        <v>Attack of the Clones</v>
      </c>
      <c r="U67" t="str">
        <v xml:space="preserve">Attack of the Clones ,  The Phantom Menace </v>
      </c>
    </row>
    <row r="68" spans="1:21" x14ac:dyDescent="0.3">
      <c r="A68" t="str">
        <v>Kit Fisto</v>
      </c>
      <c r="B68">
        <v>1.96</v>
      </c>
      <c r="C68">
        <v>66</v>
      </c>
      <c r="D68">
        <v>196</v>
      </c>
      <c r="E68">
        <v>77</v>
      </c>
      <c r="F68">
        <v>87</v>
      </c>
      <c r="G68">
        <v>191.75</v>
      </c>
      <c r="H68">
        <v>22.646813827571847</v>
      </c>
      <c r="I68">
        <v>40</v>
      </c>
      <c r="J68" t="str">
        <v>Lighter</v>
      </c>
      <c r="K68" t="str">
        <v>none</v>
      </c>
      <c r="L68" t="str">
        <v>green</v>
      </c>
      <c r="M68" t="str">
        <v>black</v>
      </c>
      <c r="N68" t="str">
        <v>NA</v>
      </c>
      <c r="O68" t="b">
        <v>0</v>
      </c>
      <c r="P68">
        <v>0</v>
      </c>
      <c r="Q68">
        <v>0</v>
      </c>
      <c r="R68" t="str">
        <v>Glee Anselm</v>
      </c>
      <c r="S68" t="str">
        <v>Nautolan</v>
      </c>
      <c r="T68" t="str">
        <v>Attack of the Clones</v>
      </c>
      <c r="U68" t="str">
        <v xml:space="preserve">Attack of the Clones ,  The Phantom Menace ,  Revenge of the Sith </v>
      </c>
    </row>
    <row r="69" spans="1:21" x14ac:dyDescent="0.3">
      <c r="A69" t="str">
        <v>Mas Amedda</v>
      </c>
      <c r="B69">
        <v>1.96</v>
      </c>
      <c r="C69">
        <v>66</v>
      </c>
      <c r="D69">
        <v>196</v>
      </c>
      <c r="E69">
        <v>77</v>
      </c>
      <c r="F69" t="str">
        <v>NA</v>
      </c>
      <c r="G69" t="e">
        <v>#VALUE!</v>
      </c>
      <c r="H69">
        <v>0</v>
      </c>
      <c r="I69">
        <v>60</v>
      </c>
      <c r="J69" t="str">
        <v>Lighter</v>
      </c>
      <c r="K69" t="str">
        <v>none</v>
      </c>
      <c r="L69" t="str">
        <v>blue</v>
      </c>
      <c r="M69" t="str">
        <v>blue</v>
      </c>
      <c r="N69" t="str">
        <v>NA</v>
      </c>
      <c r="O69" t="b">
        <v>0</v>
      </c>
      <c r="P69">
        <v>0</v>
      </c>
      <c r="Q69">
        <v>0</v>
      </c>
      <c r="R69" t="str">
        <v>Champala</v>
      </c>
      <c r="S69" t="str">
        <v>Chagrian</v>
      </c>
      <c r="T69" t="str">
        <v>Attack of the Clones</v>
      </c>
      <c r="U69" t="str">
        <v xml:space="preserve">Attack of the Clones ,  The Phantom Menace </v>
      </c>
    </row>
    <row r="70" spans="1:21" x14ac:dyDescent="0.3">
      <c r="A70" t="str">
        <v>Ki-Adi-Mundi</v>
      </c>
      <c r="B70">
        <v>1.98</v>
      </c>
      <c r="C70">
        <v>69</v>
      </c>
      <c r="D70">
        <v>198</v>
      </c>
      <c r="E70">
        <v>77.5</v>
      </c>
      <c r="F70">
        <v>82</v>
      </c>
      <c r="G70">
        <v>180.75</v>
      </c>
      <c r="H70">
        <v>20.91623303744516</v>
      </c>
      <c r="I70">
        <v>46</v>
      </c>
      <c r="J70" t="str">
        <v>Lighter</v>
      </c>
      <c r="K70" t="str">
        <v>white</v>
      </c>
      <c r="L70" t="str">
        <v>pale</v>
      </c>
      <c r="M70" t="str">
        <v>yellow</v>
      </c>
      <c r="N70">
        <v>92</v>
      </c>
      <c r="O70" t="b">
        <v>1</v>
      </c>
      <c r="P70">
        <v>33580</v>
      </c>
      <c r="Q70">
        <v>0</v>
      </c>
      <c r="R70" t="str">
        <v>Cerea</v>
      </c>
      <c r="S70" t="str">
        <v>Cerean</v>
      </c>
      <c r="T70" t="str">
        <v>Attack of the Clones</v>
      </c>
      <c r="U70" t="str">
        <v xml:space="preserve">Attack of the Clones ,  The Phantom Menace ,  Revenge of the Sith </v>
      </c>
    </row>
    <row r="71" spans="1:21" x14ac:dyDescent="0.3">
      <c r="A71" t="str">
        <v>Dexter Jettster</v>
      </c>
      <c r="B71">
        <v>1.98</v>
      </c>
      <c r="C71">
        <v>69</v>
      </c>
      <c r="D71">
        <v>198</v>
      </c>
      <c r="E71">
        <v>77.5</v>
      </c>
      <c r="F71">
        <v>102</v>
      </c>
      <c r="G71">
        <v>224.75</v>
      </c>
      <c r="H71">
        <v>26.017753290480563</v>
      </c>
      <c r="I71">
        <v>19</v>
      </c>
      <c r="J71" t="str">
        <v>Lighter</v>
      </c>
      <c r="K71" t="str">
        <v>none</v>
      </c>
      <c r="L71" t="str">
        <v>brown</v>
      </c>
      <c r="M71" t="str">
        <v>yellow</v>
      </c>
      <c r="N71" t="str">
        <v>NA</v>
      </c>
      <c r="O71" t="b">
        <v>0</v>
      </c>
      <c r="P71">
        <v>0</v>
      </c>
      <c r="Q71">
        <v>0</v>
      </c>
      <c r="R71" t="str">
        <v>Ojom</v>
      </c>
      <c r="S71" t="str">
        <v>Besalisk</v>
      </c>
      <c r="T71" t="str">
        <v>Attack of the Clones</v>
      </c>
      <c r="U71" t="str">
        <v>Attack of the Clones</v>
      </c>
    </row>
    <row r="72" spans="1:21" x14ac:dyDescent="0.3">
      <c r="A72" t="str">
        <v>IG-88</v>
      </c>
      <c r="B72">
        <v>2</v>
      </c>
      <c r="C72">
        <v>71</v>
      </c>
      <c r="D72">
        <v>200</v>
      </c>
      <c r="E72">
        <v>78.5</v>
      </c>
      <c r="F72">
        <v>140</v>
      </c>
      <c r="G72">
        <v>308.5</v>
      </c>
      <c r="H72">
        <v>35</v>
      </c>
      <c r="I72">
        <v>5</v>
      </c>
      <c r="J72" t="str">
        <v>Heavier</v>
      </c>
      <c r="K72" t="str">
        <v>none</v>
      </c>
      <c r="L72" t="str">
        <v>metal</v>
      </c>
      <c r="M72" t="str">
        <v>red</v>
      </c>
      <c r="N72">
        <v>15</v>
      </c>
      <c r="O72" t="b">
        <v>1</v>
      </c>
      <c r="P72">
        <v>5475</v>
      </c>
      <c r="Q72">
        <v>0</v>
      </c>
      <c r="R72" t="str">
        <v>NA</v>
      </c>
      <c r="S72" t="str">
        <v>Droid</v>
      </c>
      <c r="T72" t="str">
        <v>The Empire Strikes Back</v>
      </c>
      <c r="U72" t="str">
        <v>The Empire Strikes Back</v>
      </c>
    </row>
    <row r="73" spans="1:21" x14ac:dyDescent="0.3">
      <c r="A73" t="str">
        <v>Darth Vader</v>
      </c>
      <c r="B73">
        <v>2.02</v>
      </c>
      <c r="C73">
        <v>72</v>
      </c>
      <c r="D73">
        <v>202</v>
      </c>
      <c r="E73">
        <v>79.5</v>
      </c>
      <c r="F73">
        <v>136</v>
      </c>
      <c r="G73">
        <v>299.75</v>
      </c>
      <c r="H73">
        <v>33.330065679835307</v>
      </c>
      <c r="I73">
        <v>10</v>
      </c>
      <c r="J73" t="str">
        <v>Heavier</v>
      </c>
      <c r="K73" t="str">
        <v>none</v>
      </c>
      <c r="L73" t="str">
        <v>white</v>
      </c>
      <c r="M73" t="str">
        <v>yellow</v>
      </c>
      <c r="N73">
        <v>41.9</v>
      </c>
      <c r="O73" t="b">
        <v>1</v>
      </c>
      <c r="P73">
        <v>15293.5</v>
      </c>
      <c r="Q73">
        <v>0</v>
      </c>
      <c r="R73" t="str">
        <v>Tatooine</v>
      </c>
      <c r="S73" t="str">
        <v>Human</v>
      </c>
      <c r="T73" t="str">
        <v>Revenge of the Sith</v>
      </c>
      <c r="U73" t="str">
        <v xml:space="preserve">Revenge of the Sith ,  Return of the Jedi ,  The Empire Strikes Back ,  A New Hope </v>
      </c>
    </row>
    <row r="74" spans="1:21" x14ac:dyDescent="0.3">
      <c r="A74" t="str">
        <v>Rugor Nass</v>
      </c>
      <c r="B74">
        <v>2.06</v>
      </c>
      <c r="C74">
        <v>73</v>
      </c>
      <c r="D74">
        <v>206</v>
      </c>
      <c r="E74">
        <v>81</v>
      </c>
      <c r="F74" t="str">
        <v>NA</v>
      </c>
      <c r="G74" t="e">
        <v>#VALUE!</v>
      </c>
      <c r="H74">
        <v>0</v>
      </c>
      <c r="I74">
        <v>60</v>
      </c>
      <c r="J74" t="str">
        <v>Lighter</v>
      </c>
      <c r="K74" t="str">
        <v>none</v>
      </c>
      <c r="L74" t="str">
        <v>green</v>
      </c>
      <c r="M74" t="str">
        <v>orange</v>
      </c>
      <c r="N74" t="str">
        <v>NA</v>
      </c>
      <c r="O74" t="b">
        <v>0</v>
      </c>
      <c r="P74">
        <v>0</v>
      </c>
      <c r="Q74">
        <v>0</v>
      </c>
      <c r="R74" t="str">
        <v>Naboo</v>
      </c>
      <c r="S74" t="str">
        <v>Gungan</v>
      </c>
      <c r="T74" t="str">
        <v>The Phantom Menace</v>
      </c>
      <c r="U74" t="str">
        <v>The Phantom Menace</v>
      </c>
    </row>
    <row r="75" spans="1:21" x14ac:dyDescent="0.3">
      <c r="A75" t="str">
        <v>Tion Medon</v>
      </c>
      <c r="B75">
        <v>2.06</v>
      </c>
      <c r="C75">
        <v>73</v>
      </c>
      <c r="D75">
        <v>206</v>
      </c>
      <c r="E75">
        <v>81</v>
      </c>
      <c r="F75">
        <v>80</v>
      </c>
      <c r="G75">
        <v>176.25</v>
      </c>
      <c r="H75">
        <v>18.851918182675089</v>
      </c>
      <c r="I75">
        <v>49</v>
      </c>
      <c r="J75" t="str">
        <v>Lighter</v>
      </c>
      <c r="K75" t="str">
        <v>none</v>
      </c>
      <c r="L75" t="str">
        <v>grey</v>
      </c>
      <c r="M75" t="str">
        <v>black</v>
      </c>
      <c r="N75" t="str">
        <v>NA</v>
      </c>
      <c r="O75" t="b">
        <v>0</v>
      </c>
      <c r="P75">
        <v>0</v>
      </c>
      <c r="Q75">
        <v>0</v>
      </c>
      <c r="R75" t="str">
        <v>Utapau</v>
      </c>
      <c r="S75" t="str">
        <v>Pau'an</v>
      </c>
      <c r="T75" t="str">
        <v>Revenge of the Sith</v>
      </c>
      <c r="U75" t="str">
        <v>Revenge of the Sith</v>
      </c>
    </row>
    <row r="76" spans="1:21" x14ac:dyDescent="0.3">
      <c r="A76" t="str">
        <v>Taun We</v>
      </c>
      <c r="B76">
        <v>2.13</v>
      </c>
      <c r="C76">
        <v>75</v>
      </c>
      <c r="D76">
        <v>213</v>
      </c>
      <c r="E76">
        <v>83.5</v>
      </c>
      <c r="F76" t="str">
        <v>NA</v>
      </c>
      <c r="G76" t="e">
        <v>#VALUE!</v>
      </c>
      <c r="H76">
        <v>0</v>
      </c>
      <c r="I76">
        <v>60</v>
      </c>
      <c r="J76" t="str">
        <v>Lighter</v>
      </c>
      <c r="K76" t="str">
        <v>none</v>
      </c>
      <c r="L76" t="str">
        <v>grey</v>
      </c>
      <c r="M76" t="str">
        <v>black</v>
      </c>
      <c r="N76" t="str">
        <v>NA</v>
      </c>
      <c r="O76" t="b">
        <v>0</v>
      </c>
      <c r="P76">
        <v>0</v>
      </c>
      <c r="Q76">
        <v>0</v>
      </c>
      <c r="R76" t="str">
        <v>Kamino</v>
      </c>
      <c r="S76" t="str">
        <v>Kaminoan</v>
      </c>
      <c r="T76" t="str">
        <v>Attack of the Clones</v>
      </c>
      <c r="U76" t="str">
        <v>Attack of the Clones</v>
      </c>
    </row>
    <row r="77" spans="1:21" x14ac:dyDescent="0.3">
      <c r="A77" t="str">
        <v>Grievous</v>
      </c>
      <c r="B77">
        <v>2.16</v>
      </c>
      <c r="C77">
        <v>76</v>
      </c>
      <c r="D77">
        <v>216</v>
      </c>
      <c r="E77">
        <v>85</v>
      </c>
      <c r="F77">
        <v>159</v>
      </c>
      <c r="G77">
        <v>350.5</v>
      </c>
      <c r="H77">
        <v>34.079218106995881</v>
      </c>
      <c r="I77">
        <v>7</v>
      </c>
      <c r="J77" t="str">
        <v>Heavier</v>
      </c>
      <c r="K77" t="str">
        <v>none</v>
      </c>
      <c r="L77" t="str">
        <v>brown, white</v>
      </c>
      <c r="M77" t="str">
        <v>green, yellow</v>
      </c>
      <c r="N77" t="str">
        <v>NA</v>
      </c>
      <c r="O77" t="b">
        <v>0</v>
      </c>
      <c r="P77">
        <v>0</v>
      </c>
      <c r="Q77">
        <v>0</v>
      </c>
      <c r="R77" t="str">
        <v>Kalee</v>
      </c>
      <c r="S77" t="str">
        <v>Kaleesh</v>
      </c>
      <c r="T77" t="str">
        <v>Revenge of the Sith</v>
      </c>
      <c r="U77" t="str">
        <v>Revenge of the Sith</v>
      </c>
    </row>
    <row r="78" spans="1:21" x14ac:dyDescent="0.3">
      <c r="A78" t="str">
        <v>Roos Tarpals</v>
      </c>
      <c r="B78">
        <v>2.2400000000000002</v>
      </c>
      <c r="C78">
        <v>77</v>
      </c>
      <c r="D78">
        <v>224</v>
      </c>
      <c r="E78">
        <v>88</v>
      </c>
      <c r="F78">
        <v>82</v>
      </c>
      <c r="G78">
        <v>180.75</v>
      </c>
      <c r="H78">
        <v>16.342474489795915</v>
      </c>
      <c r="I78">
        <v>56</v>
      </c>
      <c r="J78" t="str">
        <v>Lighter</v>
      </c>
      <c r="K78" t="str">
        <v>none</v>
      </c>
      <c r="L78" t="str">
        <v>grey</v>
      </c>
      <c r="M78" t="str">
        <v>orange</v>
      </c>
      <c r="N78" t="str">
        <v>NA</v>
      </c>
      <c r="O78" t="b">
        <v>0</v>
      </c>
      <c r="P78">
        <v>0</v>
      </c>
      <c r="Q78">
        <v>0</v>
      </c>
      <c r="R78" t="str">
        <v>Naboo</v>
      </c>
      <c r="S78" t="str">
        <v>Gungan</v>
      </c>
      <c r="T78" t="str">
        <v>The Phantom Menace</v>
      </c>
      <c r="U78" t="str">
        <v>The Phantom Menace</v>
      </c>
    </row>
    <row r="79" spans="1:21" x14ac:dyDescent="0.3">
      <c r="A79" t="str">
        <v>Chewbacca</v>
      </c>
      <c r="B79">
        <v>2.2799999999999998</v>
      </c>
      <c r="C79">
        <v>78</v>
      </c>
      <c r="D79">
        <v>228</v>
      </c>
      <c r="E79">
        <v>89.5</v>
      </c>
      <c r="F79">
        <v>112</v>
      </c>
      <c r="G79">
        <v>246.75</v>
      </c>
      <c r="H79">
        <v>21.545090797168363</v>
      </c>
      <c r="I79">
        <v>44</v>
      </c>
      <c r="J79" t="str">
        <v>Lighter</v>
      </c>
      <c r="K79" t="str">
        <v>brown</v>
      </c>
      <c r="L79" t="str">
        <v>unknown</v>
      </c>
      <c r="M79" t="str">
        <v>blue</v>
      </c>
      <c r="N79">
        <v>200</v>
      </c>
      <c r="O79" t="b">
        <v>1</v>
      </c>
      <c r="P79">
        <v>73000</v>
      </c>
      <c r="Q79">
        <v>0</v>
      </c>
      <c r="R79" t="str">
        <v>Kashyyyk</v>
      </c>
      <c r="S79" t="str">
        <v>Wookiee</v>
      </c>
      <c r="T79" t="str">
        <v>Revenge of the Sith</v>
      </c>
      <c r="U79" t="str">
        <v xml:space="preserve">Revenge of the Sith ,  Return of the Jedi ,  The Empire Strikes Back ,  A New Hope ,  The Force Awakens </v>
      </c>
    </row>
    <row r="80" spans="1:21" x14ac:dyDescent="0.3">
      <c r="A80" t="str">
        <v>Lama Su</v>
      </c>
      <c r="B80">
        <v>2.29</v>
      </c>
      <c r="C80">
        <v>79</v>
      </c>
      <c r="D80">
        <v>229</v>
      </c>
      <c r="E80">
        <v>90</v>
      </c>
      <c r="F80">
        <v>88</v>
      </c>
      <c r="G80">
        <v>194</v>
      </c>
      <c r="H80">
        <v>16.780763143342039</v>
      </c>
      <c r="I80">
        <v>54</v>
      </c>
      <c r="J80" t="str">
        <v>Lighter</v>
      </c>
      <c r="K80" t="str">
        <v>none</v>
      </c>
      <c r="L80" t="str">
        <v>grey</v>
      </c>
      <c r="M80" t="str">
        <v>black</v>
      </c>
      <c r="N80" t="str">
        <v>NA</v>
      </c>
      <c r="O80" t="b">
        <v>0</v>
      </c>
      <c r="P80">
        <v>0</v>
      </c>
      <c r="Q80">
        <v>0</v>
      </c>
      <c r="R80" t="str">
        <v>Kamino</v>
      </c>
      <c r="S80" t="str">
        <v>Kaminoan</v>
      </c>
      <c r="T80" t="str">
        <v>Attack of the Clones</v>
      </c>
      <c r="U80" t="str">
        <v>Attack of the Clones</v>
      </c>
    </row>
    <row r="81" spans="1:21" x14ac:dyDescent="0.3">
      <c r="A81" t="str">
        <v>Tarfful</v>
      </c>
      <c r="B81">
        <v>2.34</v>
      </c>
      <c r="C81">
        <v>80</v>
      </c>
      <c r="D81">
        <v>234</v>
      </c>
      <c r="E81">
        <v>92</v>
      </c>
      <c r="F81">
        <v>136</v>
      </c>
      <c r="G81">
        <v>299.75</v>
      </c>
      <c r="H81">
        <v>24.837460734896638</v>
      </c>
      <c r="I81">
        <v>26</v>
      </c>
      <c r="J81" t="str">
        <v>Lighter</v>
      </c>
      <c r="K81" t="str">
        <v>brown</v>
      </c>
      <c r="L81" t="str">
        <v>brown</v>
      </c>
      <c r="M81" t="str">
        <v>blue</v>
      </c>
      <c r="N81" t="str">
        <v>NA</v>
      </c>
      <c r="O81" t="b">
        <v>0</v>
      </c>
      <c r="P81">
        <v>0</v>
      </c>
      <c r="Q81">
        <v>0</v>
      </c>
      <c r="R81" t="str">
        <v>Kashyyyk</v>
      </c>
      <c r="S81" t="str">
        <v>Wookiee</v>
      </c>
      <c r="T81" t="str">
        <v>Revenge of the Sith</v>
      </c>
      <c r="U81" t="str">
        <v>Revenge of the Sith</v>
      </c>
    </row>
    <row r="82" spans="1:21" x14ac:dyDescent="0.3">
      <c r="A82" t="str">
        <v>Yarael Poof</v>
      </c>
      <c r="B82">
        <v>2.64</v>
      </c>
      <c r="C82">
        <v>81</v>
      </c>
      <c r="D82">
        <v>264</v>
      </c>
      <c r="E82">
        <v>103.5</v>
      </c>
      <c r="F82" t="str">
        <v>NA</v>
      </c>
      <c r="G82" t="e">
        <v>#VALUE!</v>
      </c>
      <c r="H82">
        <v>0</v>
      </c>
      <c r="I82">
        <v>60</v>
      </c>
      <c r="J82" t="str">
        <v>Lighter</v>
      </c>
      <c r="K82" t="str">
        <v>none</v>
      </c>
      <c r="L82" t="str">
        <v>white</v>
      </c>
      <c r="M82" t="str">
        <v>yellow</v>
      </c>
      <c r="N82" t="str">
        <v>NA</v>
      </c>
      <c r="O82" t="b">
        <v>0</v>
      </c>
      <c r="P82">
        <v>0</v>
      </c>
      <c r="Q82">
        <v>0</v>
      </c>
      <c r="R82" t="str">
        <v>Quermia</v>
      </c>
      <c r="S82" t="str">
        <v>Quermian</v>
      </c>
      <c r="T82" t="str">
        <v>The Phantom Menace</v>
      </c>
      <c r="U82" t="str">
        <v>The Phantom Menace</v>
      </c>
    </row>
    <row r="85" spans="1:21" x14ac:dyDescent="0.3">
      <c r="C85" s="7" t="s">
        <v>289</v>
      </c>
    </row>
    <row r="86" spans="1:21" x14ac:dyDescent="0.3">
      <c r="C86" s="6" t="s">
        <v>283</v>
      </c>
      <c r="D86">
        <f>SUM(D2:D82)/COUNT(D2:D82)</f>
        <v>174.35802469135803</v>
      </c>
    </row>
    <row r="87" spans="1:21" x14ac:dyDescent="0.3">
      <c r="C87" s="6" t="s">
        <v>285</v>
      </c>
      <c r="D87">
        <f>COUNT(D2:D82)/2</f>
        <v>40.5</v>
      </c>
      <c r="G87">
        <f>VLOOKUP(D87,C2:U82,2,TRUE)</f>
        <v>180</v>
      </c>
      <c r="H87">
        <f>VLOOKUP(39,C2:U82,2,TRUE)</f>
        <v>180</v>
      </c>
      <c r="I87">
        <f>VLOOKUP(43,C2:U82,2,TRUE)</f>
        <v>180</v>
      </c>
    </row>
    <row r="88" spans="1:21" x14ac:dyDescent="0.3">
      <c r="C88" s="6" t="s">
        <v>287</v>
      </c>
      <c r="D88">
        <f>VLOOKUP(D87,C2:U82,2,TRUE)</f>
        <v>180</v>
      </c>
    </row>
    <row r="89" spans="1:21" x14ac:dyDescent="0.3">
      <c r="C89" s="6" t="s">
        <v>288</v>
      </c>
    </row>
    <row r="91" spans="1:21" x14ac:dyDescent="0.3">
      <c r="C91" s="7" t="s">
        <v>290</v>
      </c>
    </row>
    <row r="92" spans="1:21" x14ac:dyDescent="0.3">
      <c r="C92" s="6" t="s">
        <v>286</v>
      </c>
      <c r="D92">
        <f>AVERAGE(D2:D82)</f>
        <v>174.35802469135803</v>
      </c>
    </row>
    <row r="93" spans="1:21" x14ac:dyDescent="0.3">
      <c r="C93" s="6" t="s">
        <v>287</v>
      </c>
      <c r="D93">
        <f>MEDIAN(D2:D82)</f>
        <v>180</v>
      </c>
    </row>
    <row r="94" spans="1:21" x14ac:dyDescent="0.3">
      <c r="C94" s="6" t="s">
        <v>288</v>
      </c>
      <c r="D94">
        <f>_xlfn.MODE.SNGL(D2:D82)</f>
        <v>183</v>
      </c>
    </row>
  </sheetData>
  <conditionalFormatting sqref="D2:D8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hasHeight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2026-01-15T15:20:06Z</dcterms:modified>
  <cp:category/>
  <cp:contentStatus/>
</cp:coreProperties>
</file>